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E462D692-280D-4A3D-8B63-53EFF2F3E87E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1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R131" i="1"/>
  <c r="AO131" i="1"/>
  <c r="AN131" i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F127" i="1" s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H125" i="1" s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A118" i="1"/>
  <c r="AT117" i="1"/>
  <c r="AS117" i="1"/>
  <c r="AR117" i="1"/>
  <c r="AQ117" i="1"/>
  <c r="AO117" i="1"/>
  <c r="AN117" i="1"/>
  <c r="AP117" i="1" s="1"/>
  <c r="AM117" i="1"/>
  <c r="AL117" i="1"/>
  <c r="AJ117" i="1"/>
  <c r="AI117" i="1"/>
  <c r="AE117" i="1"/>
  <c r="AD117" i="1"/>
  <c r="AA117" i="1" s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H116" i="1" s="1"/>
  <c r="AC116" i="1"/>
  <c r="AB116" i="1"/>
  <c r="AT115" i="1"/>
  <c r="AS115" i="1"/>
  <c r="AO115" i="1"/>
  <c r="AN115" i="1"/>
  <c r="AM115" i="1"/>
  <c r="AL115" i="1"/>
  <c r="AJ115" i="1"/>
  <c r="AI115" i="1"/>
  <c r="AE115" i="1"/>
  <c r="AH115" i="1" s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F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H113" i="1"/>
  <c r="AE113" i="1"/>
  <c r="AD113" i="1"/>
  <c r="AF113" i="1" s="1"/>
  <c r="AC113" i="1"/>
  <c r="AB113" i="1"/>
  <c r="AA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P111" i="1" s="1"/>
  <c r="AN111" i="1"/>
  <c r="AM111" i="1"/>
  <c r="AL111" i="1"/>
  <c r="AJ111" i="1"/>
  <c r="AI111" i="1"/>
  <c r="AE111" i="1"/>
  <c r="AD111" i="1"/>
  <c r="AA111" i="1" s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R109" i="1" s="1"/>
  <c r="AM109" i="1"/>
  <c r="AL109" i="1"/>
  <c r="AJ109" i="1"/>
  <c r="AI109" i="1"/>
  <c r="AE109" i="1"/>
  <c r="AD109" i="1"/>
  <c r="AC109" i="1"/>
  <c r="AB109" i="1"/>
  <c r="AT108" i="1"/>
  <c r="AS108" i="1"/>
  <c r="AP108" i="1"/>
  <c r="AO108" i="1"/>
  <c r="AN108" i="1"/>
  <c r="AM108" i="1"/>
  <c r="AL108" i="1"/>
  <c r="AJ108" i="1"/>
  <c r="AI108" i="1"/>
  <c r="AH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H107" i="1" s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H104" i="1" s="1"/>
  <c r="AC104" i="1"/>
  <c r="AB104" i="1"/>
  <c r="AT103" i="1"/>
  <c r="AS103" i="1"/>
  <c r="AQ103" i="1"/>
  <c r="AO103" i="1"/>
  <c r="AN103" i="1"/>
  <c r="AR103" i="1" s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A102" i="1" s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G101" i="1" s="1"/>
  <c r="AD101" i="1"/>
  <c r="AC101" i="1"/>
  <c r="AB101" i="1"/>
  <c r="AT100" i="1"/>
  <c r="AS100" i="1"/>
  <c r="AO100" i="1"/>
  <c r="AN100" i="1"/>
  <c r="AR100" i="1" s="1"/>
  <c r="AM100" i="1"/>
  <c r="AL100" i="1"/>
  <c r="AJ100" i="1"/>
  <c r="AI100" i="1"/>
  <c r="AE100" i="1"/>
  <c r="AD100" i="1"/>
  <c r="AC100" i="1"/>
  <c r="AB100" i="1"/>
  <c r="AT99" i="1"/>
  <c r="AS99" i="1"/>
  <c r="AO99" i="1"/>
  <c r="AQ99" i="1" s="1"/>
  <c r="AN99" i="1"/>
  <c r="AM99" i="1"/>
  <c r="AL99" i="1"/>
  <c r="AJ99" i="1"/>
  <c r="AI99" i="1"/>
  <c r="AH99" i="1"/>
  <c r="AE99" i="1"/>
  <c r="AD99" i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H97" i="1" s="1"/>
  <c r="AD97" i="1"/>
  <c r="AG97" i="1" s="1"/>
  <c r="AC97" i="1"/>
  <c r="AB97" i="1"/>
  <c r="AT96" i="1"/>
  <c r="AS96" i="1"/>
  <c r="AR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A95" i="1" s="1"/>
  <c r="AD95" i="1"/>
  <c r="AC95" i="1"/>
  <c r="AB95" i="1"/>
  <c r="AT94" i="1"/>
  <c r="AS94" i="1"/>
  <c r="AO94" i="1"/>
  <c r="AR94" i="1" s="1"/>
  <c r="AN94" i="1"/>
  <c r="AQ94" i="1" s="1"/>
  <c r="AM94" i="1"/>
  <c r="AL94" i="1"/>
  <c r="AJ94" i="1"/>
  <c r="AI94" i="1"/>
  <c r="AF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D88" i="1"/>
  <c r="AG88" i="1" s="1"/>
  <c r="AC88" i="1"/>
  <c r="AB88" i="1"/>
  <c r="AT87" i="1"/>
  <c r="AS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E83" i="1"/>
  <c r="AD83" i="1"/>
  <c r="AG83" i="1" s="1"/>
  <c r="AC83" i="1"/>
  <c r="AB83" i="1"/>
  <c r="AT82" i="1"/>
  <c r="AS82" i="1"/>
  <c r="AO82" i="1"/>
  <c r="AN82" i="1"/>
  <c r="AM82" i="1"/>
  <c r="AL82" i="1"/>
  <c r="AJ82" i="1"/>
  <c r="AI82" i="1"/>
  <c r="AE82" i="1"/>
  <c r="AD82" i="1"/>
  <c r="AG82" i="1" s="1"/>
  <c r="AC82" i="1"/>
  <c r="AB82" i="1"/>
  <c r="AT81" i="1"/>
  <c r="AS81" i="1"/>
  <c r="AO81" i="1"/>
  <c r="AN81" i="1"/>
  <c r="AP81" i="1" s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C79" i="1"/>
  <c r="AB79" i="1"/>
  <c r="AT78" i="1"/>
  <c r="AS78" i="1"/>
  <c r="AO78" i="1"/>
  <c r="AN78" i="1"/>
  <c r="AM78" i="1"/>
  <c r="AL78" i="1"/>
  <c r="AJ78" i="1"/>
  <c r="AI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E74" i="1"/>
  <c r="AD74" i="1"/>
  <c r="AG74" i="1" s="1"/>
  <c r="AC74" i="1"/>
  <c r="AB74" i="1"/>
  <c r="AT73" i="1"/>
  <c r="AS73" i="1"/>
  <c r="AO73" i="1"/>
  <c r="AN73" i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E72" i="1"/>
  <c r="AD72" i="1"/>
  <c r="AF72" i="1" s="1"/>
  <c r="AC72" i="1"/>
  <c r="AB72" i="1"/>
  <c r="AT71" i="1"/>
  <c r="AS71" i="1"/>
  <c r="AO71" i="1"/>
  <c r="AN71" i="1"/>
  <c r="AM71" i="1"/>
  <c r="AL71" i="1"/>
  <c r="AJ71" i="1"/>
  <c r="AI71" i="1"/>
  <c r="AE71" i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E65" i="1"/>
  <c r="AD65" i="1"/>
  <c r="AG65" i="1" s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G63" i="1"/>
  <c r="AF63" i="1"/>
  <c r="AE63" i="1"/>
  <c r="AA63" i="1" s="1"/>
  <c r="AD63" i="1"/>
  <c r="AH63" i="1" s="1"/>
  <c r="AC63" i="1"/>
  <c r="AB63" i="1"/>
  <c r="AT60" i="1"/>
  <c r="AS60" i="1"/>
  <c r="AO60" i="1"/>
  <c r="AN60" i="1"/>
  <c r="AM60" i="1"/>
  <c r="AL60" i="1"/>
  <c r="AJ60" i="1"/>
  <c r="AI60" i="1"/>
  <c r="AE60" i="1"/>
  <c r="AD60" i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E49" i="1"/>
  <c r="AA49" i="1" s="1"/>
  <c r="AD49" i="1"/>
  <c r="AG49" i="1" s="1"/>
  <c r="AC49" i="1"/>
  <c r="AB49" i="1"/>
  <c r="B27" i="2"/>
  <c r="AT24" i="3"/>
  <c r="AS24" i="3"/>
  <c r="AO24" i="3"/>
  <c r="AN24" i="3"/>
  <c r="AM24" i="3"/>
  <c r="AL24" i="3"/>
  <c r="C30" i="3" s="1"/>
  <c r="AJ24" i="3"/>
  <c r="AI24" i="3"/>
  <c r="AE24" i="3"/>
  <c r="AD24" i="3"/>
  <c r="AC24" i="3"/>
  <c r="AB24" i="3"/>
  <c r="C29" i="3" s="1"/>
  <c r="Y25" i="3"/>
  <c r="W25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1" i="3" s="1"/>
  <c r="Y19" i="3"/>
  <c r="W19" i="3"/>
  <c r="AT13" i="3"/>
  <c r="AS13" i="3"/>
  <c r="AO13" i="3"/>
  <c r="AN13" i="3"/>
  <c r="AM13" i="3"/>
  <c r="AL13" i="3"/>
  <c r="G19" i="3" s="1"/>
  <c r="AJ13" i="3"/>
  <c r="AI13" i="3"/>
  <c r="AE13" i="3"/>
  <c r="AD13" i="3"/>
  <c r="AA13" i="3" s="1"/>
  <c r="AC13" i="3"/>
  <c r="AB13" i="3"/>
  <c r="G25" i="3" s="1"/>
  <c r="Y13" i="3"/>
  <c r="W13" i="3"/>
  <c r="AT12" i="3"/>
  <c r="AS12" i="3"/>
  <c r="AO12" i="3"/>
  <c r="AN12" i="3"/>
  <c r="AM12" i="3"/>
  <c r="AL12" i="3"/>
  <c r="C19" i="3" s="1"/>
  <c r="AJ12" i="3"/>
  <c r="AI12" i="3"/>
  <c r="AE12" i="3"/>
  <c r="AD12" i="3"/>
  <c r="AC12" i="3"/>
  <c r="AB12" i="3"/>
  <c r="C25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G12" i="3" s="1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G13" i="3" s="1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C13" i="3" s="1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H88" i="1" l="1"/>
  <c r="AQ87" i="1"/>
  <c r="AP87" i="1"/>
  <c r="AQ86" i="1"/>
  <c r="AR85" i="1"/>
  <c r="AH83" i="1"/>
  <c r="AR82" i="1"/>
  <c r="AA82" i="1"/>
  <c r="AR80" i="1"/>
  <c r="AH74" i="1"/>
  <c r="AR73" i="1"/>
  <c r="AA71" i="1"/>
  <c r="AQ71" i="1"/>
  <c r="AR66" i="1"/>
  <c r="AG60" i="1"/>
  <c r="AG56" i="1"/>
  <c r="AA55" i="1"/>
  <c r="AA79" i="1"/>
  <c r="AG51" i="1"/>
  <c r="AR78" i="1"/>
  <c r="AH78" i="1"/>
  <c r="AA88" i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H28" i="1" l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G8" i="2" s="1"/>
  <c r="AF21" i="1"/>
  <c r="AF30" i="1"/>
  <c r="AF24" i="1"/>
  <c r="AP21" i="1"/>
  <c r="L11" i="2"/>
  <c r="K4" i="2"/>
  <c r="K20" i="2"/>
  <c r="L8" i="2"/>
  <c r="L20" i="2"/>
  <c r="J10" i="2"/>
  <c r="J5" i="2"/>
  <c r="J13" i="2"/>
  <c r="K5" i="2"/>
  <c r="K9" i="2"/>
  <c r="K13" i="2"/>
  <c r="L5" i="2"/>
  <c r="L13" i="2"/>
  <c r="J3" i="2"/>
  <c r="L10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N10" i="2"/>
  <c r="Q15" i="2"/>
  <c r="M9" i="2"/>
  <c r="G10" i="2"/>
  <c r="P4" i="2"/>
  <c r="Q11" i="2"/>
  <c r="P18" i="2"/>
  <c r="Q4" i="2"/>
  <c r="Q16" i="2"/>
  <c r="Q27" i="2" s="1"/>
  <c r="P10" i="2"/>
  <c r="N4" i="2"/>
  <c r="N16" i="2"/>
  <c r="N27" i="2" s="1"/>
  <c r="M10" i="2"/>
  <c r="G11" i="2"/>
  <c r="G12" i="2"/>
  <c r="P16" i="2"/>
  <c r="P27" i="2" s="1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G4" i="2"/>
  <c r="M16" i="2"/>
  <c r="P5" i="2"/>
  <c r="I4" i="2"/>
  <c r="G19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K16" i="2" s="1"/>
  <c r="K27" i="2" s="1"/>
  <c r="AH38" i="1"/>
  <c r="AQ34" i="1"/>
  <c r="K19" i="2" s="1"/>
  <c r="AA44" i="1"/>
  <c r="AR44" i="1"/>
  <c r="AG42" i="1"/>
  <c r="AR38" i="1"/>
  <c r="AG36" i="1"/>
  <c r="H4" i="2" s="1"/>
  <c r="AA42" i="1"/>
  <c r="AP44" i="1"/>
  <c r="AF42" i="1"/>
  <c r="G16" i="2" s="1"/>
  <c r="G27" i="2" s="1"/>
  <c r="AP38" i="1"/>
  <c r="AA40" i="1"/>
  <c r="AR43" i="1"/>
  <c r="AF41" i="1"/>
  <c r="G9" i="2" s="1"/>
  <c r="AR37" i="1"/>
  <c r="L16" i="2" s="1"/>
  <c r="L27" i="2" s="1"/>
  <c r="AF35" i="1"/>
  <c r="AA43" i="1"/>
  <c r="AG40" i="1"/>
  <c r="AR36" i="1"/>
  <c r="L19" i="2" s="1"/>
  <c r="AG34" i="1"/>
  <c r="AA38" i="1"/>
  <c r="AP42" i="1"/>
  <c r="AA37" i="1"/>
  <c r="AA36" i="1"/>
  <c r="AR41" i="1"/>
  <c r="L12" i="2" s="1"/>
  <c r="AF39" i="1"/>
  <c r="G20" i="2" s="1"/>
  <c r="AR35" i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I17" i="2" s="1"/>
  <c r="AG6" i="1"/>
  <c r="H17" i="2" s="1"/>
  <c r="AF6" i="1"/>
  <c r="AR6" i="1"/>
  <c r="AQ6" i="1"/>
  <c r="AF16" i="1"/>
  <c r="AH16" i="1"/>
  <c r="AG16" i="1"/>
  <c r="AR5" i="1"/>
  <c r="L14" i="2" s="1"/>
  <c r="AQ5" i="1"/>
  <c r="K14" i="2" s="1"/>
  <c r="AP5" i="1"/>
  <c r="J14" i="2" s="1"/>
  <c r="AH43" i="1"/>
  <c r="I19" i="2" s="1"/>
  <c r="AH41" i="1"/>
  <c r="AH39" i="1"/>
  <c r="AH37" i="1"/>
  <c r="I9" i="2" s="1"/>
  <c r="AH35" i="1"/>
  <c r="AH33" i="1"/>
  <c r="AH29" i="1"/>
  <c r="AH27" i="1"/>
  <c r="AH25" i="1"/>
  <c r="I11" i="2" s="1"/>
  <c r="AH23" i="1"/>
  <c r="I5" i="2" s="1"/>
  <c r="AH21" i="1"/>
  <c r="I10" i="2" s="1"/>
  <c r="AH19" i="1"/>
  <c r="I13" i="2" s="1"/>
  <c r="AG43" i="1"/>
  <c r="H19" i="2" s="1"/>
  <c r="AG41" i="1"/>
  <c r="AG39" i="1"/>
  <c r="AG37" i="1"/>
  <c r="H9" i="2" s="1"/>
  <c r="AG35" i="1"/>
  <c r="AG33" i="1"/>
  <c r="H12" i="2" s="1"/>
  <c r="AG29" i="1"/>
  <c r="AG27" i="1"/>
  <c r="AG25" i="1"/>
  <c r="H11" i="2" s="1"/>
  <c r="AG23" i="1"/>
  <c r="AG21" i="1"/>
  <c r="H10" i="2" s="1"/>
  <c r="AG19" i="1"/>
  <c r="H13" i="2" s="1"/>
  <c r="AQ41" i="1"/>
  <c r="K12" i="2" s="1"/>
  <c r="AQ35" i="1"/>
  <c r="AQ27" i="1"/>
  <c r="AQ23" i="1"/>
  <c r="AQ21" i="1"/>
  <c r="AQ19" i="1"/>
  <c r="AQ29" i="1"/>
  <c r="K8" i="2" s="1"/>
  <c r="AP43" i="1"/>
  <c r="AP39" i="1"/>
  <c r="J19" i="2" s="1"/>
  <c r="AP37" i="1"/>
  <c r="J16" i="2" s="1"/>
  <c r="J27" i="2" s="1"/>
  <c r="AP33" i="1"/>
  <c r="J20" i="2" s="1"/>
  <c r="AP25" i="1"/>
  <c r="J8" i="2" s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L4" i="2" l="1"/>
  <c r="J4" i="2"/>
  <c r="C4" i="2" s="1"/>
  <c r="I15" i="2"/>
  <c r="H15" i="2"/>
  <c r="K3" i="2"/>
  <c r="H8" i="2"/>
  <c r="I8" i="2"/>
  <c r="L18" i="2"/>
  <c r="J18" i="2"/>
  <c r="G13" i="2"/>
  <c r="C13" i="2" s="1"/>
  <c r="G17" i="2"/>
  <c r="I12" i="2"/>
  <c r="J17" i="2"/>
  <c r="J7" i="2"/>
  <c r="L7" i="2"/>
  <c r="K7" i="2"/>
  <c r="K18" i="2"/>
  <c r="K17" i="2"/>
  <c r="L17" i="2"/>
  <c r="G15" i="2"/>
  <c r="J11" i="2"/>
  <c r="C11" i="2" s="1"/>
  <c r="H6" i="2"/>
  <c r="I6" i="2"/>
  <c r="G6" i="2"/>
  <c r="J9" i="2"/>
  <c r="C9" i="2" s="1"/>
  <c r="I16" i="2"/>
  <c r="I27" i="2" s="1"/>
  <c r="L9" i="2"/>
  <c r="H16" i="2"/>
  <c r="H27" i="2" s="1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C5" i="2" s="1"/>
  <c r="I14" i="2"/>
  <c r="K15" i="2"/>
  <c r="G14" i="2"/>
  <c r="J15" i="2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R27" i="2" s="1"/>
  <c r="O14" i="2"/>
  <c r="O13" i="2"/>
  <c r="C19" i="2"/>
  <c r="O8" i="2"/>
  <c r="C10" i="2"/>
  <c r="R19" i="2"/>
  <c r="R17" i="2"/>
  <c r="R20" i="2"/>
  <c r="R7" i="2"/>
  <c r="O9" i="2"/>
  <c r="R8" i="2"/>
  <c r="O18" i="2"/>
  <c r="R3" i="2"/>
  <c r="R6" i="2"/>
  <c r="O5" i="2"/>
  <c r="R10" i="2"/>
  <c r="R9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7" i="2" l="1"/>
  <c r="C8" i="2"/>
  <c r="C12" i="2"/>
  <c r="C15" i="2"/>
  <c r="C3" i="2"/>
  <c r="C6" i="2"/>
  <c r="C16" i="2"/>
  <c r="C27" i="2" s="1"/>
  <c r="C7" i="2"/>
  <c r="C18" i="2"/>
  <c r="C20" i="2"/>
  <c r="C14" i="2"/>
  <c r="U17" i="2" s="1"/>
  <c r="S18" i="2"/>
  <c r="V19" i="2" l="1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A3" i="2" s="1"/>
  <c r="Z3" i="2" s="1"/>
  <c r="A4" i="2"/>
  <c r="A18" i="2"/>
  <c r="A12" i="2"/>
  <c r="A11" i="2"/>
  <c r="A6" i="2"/>
  <c r="A19" i="2"/>
  <c r="A9" i="2"/>
  <c r="A20" i="2"/>
  <c r="A10" i="2"/>
  <c r="A17" i="2"/>
  <c r="A7" i="2"/>
  <c r="A15" i="2"/>
  <c r="BB14" i="3" l="1"/>
  <c r="BG12" i="3"/>
  <c r="BC5" i="3"/>
  <c r="BD12" i="3"/>
  <c r="BL13" i="3"/>
  <c r="AZ56" i="1"/>
  <c r="BK12" i="3"/>
  <c r="BC56" i="1"/>
  <c r="BF13" i="3"/>
  <c r="BL13" i="1"/>
  <c r="AX57" i="1"/>
  <c r="AY13" i="3"/>
  <c r="BG13" i="3"/>
  <c r="BK13" i="3"/>
  <c r="BK13" i="1"/>
  <c r="BD57" i="1"/>
  <c r="BA13" i="1"/>
  <c r="BD101" i="1"/>
  <c r="AV13" i="3"/>
  <c r="AZ13" i="3"/>
  <c r="BG100" i="1"/>
  <c r="BA12" i="3"/>
  <c r="AY12" i="3"/>
  <c r="BK100" i="1"/>
  <c r="BC11" i="3"/>
  <c r="AX55" i="1"/>
  <c r="AZ13" i="1"/>
  <c r="BI13" i="1"/>
  <c r="BL57" i="1"/>
  <c r="BH13" i="3"/>
  <c r="AY13" i="1"/>
  <c r="AW13" i="3"/>
  <c r="BA13" i="3"/>
  <c r="AX13" i="1"/>
  <c r="BB13" i="3"/>
  <c r="BG57" i="1"/>
  <c r="BI13" i="3"/>
  <c r="BC13" i="3"/>
  <c r="AW13" i="1"/>
  <c r="BG101" i="1"/>
  <c r="BE13" i="3"/>
  <c r="AX13" i="3"/>
  <c r="BI57" i="1"/>
  <c r="BC101" i="1"/>
  <c r="BH11" i="3"/>
  <c r="BJ13" i="3"/>
  <c r="B28" i="2"/>
  <c r="P28" i="2" s="1"/>
  <c r="BJ57" i="1"/>
  <c r="AW57" i="1"/>
  <c r="BL12" i="1"/>
  <c r="AX4" i="3"/>
  <c r="BF12" i="1"/>
  <c r="BC12" i="1"/>
  <c r="AY100" i="1"/>
  <c r="BE12" i="1"/>
  <c r="BF56" i="1"/>
  <c r="BB12" i="1"/>
  <c r="BH12" i="3"/>
  <c r="BD56" i="1"/>
  <c r="AY12" i="1"/>
  <c r="AV12" i="3"/>
  <c r="AW100" i="1"/>
  <c r="BI100" i="1"/>
  <c r="BB12" i="3"/>
  <c r="AW12" i="3"/>
  <c r="BC9" i="3"/>
  <c r="BI12" i="3"/>
  <c r="BD12" i="1"/>
  <c r="BL56" i="1"/>
  <c r="AX56" i="1"/>
  <c r="BB56" i="1"/>
  <c r="BE12" i="3"/>
  <c r="BA56" i="1"/>
  <c r="BJ8" i="3"/>
  <c r="BC12" i="3"/>
  <c r="BF12" i="3"/>
  <c r="BJ100" i="1"/>
  <c r="AZ12" i="3"/>
  <c r="AX12" i="3"/>
  <c r="AX100" i="1"/>
  <c r="BL12" i="3"/>
  <c r="BF10" i="3"/>
  <c r="BJ12" i="3"/>
  <c r="BA12" i="1"/>
  <c r="BK11" i="3"/>
  <c r="BA11" i="3"/>
  <c r="AZ99" i="1"/>
  <c r="AY11" i="3"/>
  <c r="BB11" i="3"/>
  <c r="BI11" i="3"/>
  <c r="AZ11" i="3"/>
  <c r="BG11" i="1"/>
  <c r="BF11" i="3"/>
  <c r="BB10" i="3"/>
  <c r="BG11" i="3"/>
  <c r="AX10" i="3"/>
  <c r="AW11" i="1"/>
  <c r="BK55" i="1"/>
  <c r="BE99" i="1"/>
  <c r="AX11" i="1"/>
  <c r="BC99" i="1"/>
  <c r="AW55" i="1"/>
  <c r="BD10" i="3"/>
  <c r="BK10" i="3"/>
  <c r="AW11" i="3"/>
  <c r="BH5" i="3"/>
  <c r="BH11" i="1"/>
  <c r="BK11" i="1"/>
  <c r="BG55" i="1"/>
  <c r="BF11" i="1"/>
  <c r="BB11" i="1"/>
  <c r="AV11" i="1"/>
  <c r="BD11" i="3"/>
  <c r="BG10" i="3"/>
  <c r="BJ55" i="1"/>
  <c r="AV99" i="1"/>
  <c r="BB99" i="1"/>
  <c r="AX11" i="3"/>
  <c r="BE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J11" i="3"/>
  <c r="BL11" i="3"/>
  <c r="BH55" i="1"/>
  <c r="AV98" i="1"/>
  <c r="BJ11" i="1"/>
  <c r="AY55" i="1"/>
  <c r="BG99" i="1"/>
  <c r="BF101" i="1"/>
  <c r="BG13" i="1"/>
  <c r="BB101" i="1"/>
  <c r="AV101" i="1"/>
  <c r="AV13" i="1"/>
  <c r="BH101" i="1"/>
  <c r="BD13" i="3"/>
  <c r="BH57" i="1"/>
  <c r="BE13" i="1"/>
  <c r="BI10" i="3"/>
  <c r="BL109" i="1"/>
  <c r="AY57" i="1"/>
  <c r="BK57" i="1"/>
  <c r="BA57" i="1"/>
  <c r="AX8" i="3"/>
  <c r="AY98" i="1"/>
  <c r="BH54" i="1"/>
  <c r="BB8" i="3"/>
  <c r="BC10" i="3"/>
  <c r="BE10" i="3"/>
  <c r="BJ10" i="3"/>
  <c r="AZ10" i="3"/>
  <c r="BK8" i="3"/>
  <c r="BD9" i="3"/>
  <c r="BK54" i="1"/>
  <c r="BL98" i="1"/>
  <c r="BB10" i="1"/>
  <c r="AW10" i="3"/>
  <c r="AY10" i="3"/>
  <c r="BA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H10" i="3"/>
  <c r="BC10" i="1"/>
  <c r="BJ10" i="1"/>
  <c r="BA98" i="1"/>
  <c r="BC98" i="1"/>
  <c r="BI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L10" i="3"/>
  <c r="AZ10" i="1"/>
  <c r="AX54" i="1"/>
  <c r="AZ54" i="1"/>
  <c r="BB54" i="1"/>
  <c r="BG98" i="1"/>
  <c r="BI98" i="1"/>
  <c r="BF10" i="1"/>
  <c r="BD10" i="1"/>
  <c r="AZ98" i="1"/>
  <c r="AV54" i="1"/>
  <c r="BL97" i="1"/>
  <c r="BJ14" i="3"/>
  <c r="BF9" i="1"/>
  <c r="AV14" i="3"/>
  <c r="BE14" i="3"/>
  <c r="BH9" i="3"/>
  <c r="AZ12" i="1"/>
  <c r="BG56" i="1"/>
  <c r="BH12" i="1"/>
  <c r="BA14" i="3"/>
  <c r="BE9" i="3"/>
  <c r="BG14" i="1"/>
  <c r="BJ13" i="1"/>
  <c r="AV57" i="1"/>
  <c r="BE56" i="1"/>
  <c r="AZ100" i="1"/>
  <c r="AV12" i="1"/>
  <c r="AX14" i="3"/>
  <c r="AY9" i="3"/>
  <c r="BK9" i="3"/>
  <c r="BD14" i="3"/>
  <c r="BG14" i="3"/>
  <c r="AZ57" i="1"/>
  <c r="BL100" i="1"/>
  <c r="AX9" i="3"/>
  <c r="BJ9" i="3"/>
  <c r="BC14" i="3"/>
  <c r="BG9" i="3"/>
  <c r="BE101" i="1"/>
  <c r="BH13" i="1"/>
  <c r="AW53" i="1"/>
  <c r="BF13" i="1"/>
  <c r="BA100" i="1"/>
  <c r="AW101" i="1"/>
  <c r="BE14" i="1"/>
  <c r="BB97" i="1"/>
  <c r="BI53" i="1"/>
  <c r="AW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B9" i="3"/>
  <c r="BA97" i="1"/>
  <c r="BA14" i="1"/>
  <c r="BK58" i="1"/>
  <c r="BA53" i="1"/>
  <c r="BB53" i="1"/>
  <c r="BK97" i="1"/>
  <c r="AZ14" i="3"/>
  <c r="BG8" i="3"/>
  <c r="BF9" i="3"/>
  <c r="AY8" i="1"/>
  <c r="BI102" i="1"/>
  <c r="BC58" i="1"/>
  <c r="AW9" i="3"/>
  <c r="AZ9" i="3"/>
  <c r="AW14" i="3"/>
  <c r="BF58" i="1"/>
  <c r="AW58" i="1"/>
  <c r="BF97" i="1"/>
  <c r="BD58" i="1"/>
  <c r="BD8" i="3"/>
  <c r="AV8" i="3"/>
  <c r="BK14" i="3"/>
  <c r="BA9" i="3"/>
  <c r="AV14" i="1"/>
  <c r="BI9" i="3"/>
  <c r="BL9" i="3"/>
  <c r="BI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H14" i="3"/>
  <c r="BF14" i="1"/>
  <c r="BH15" i="3"/>
  <c r="AY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Y14" i="3"/>
  <c r="BL14" i="3"/>
  <c r="BH8" i="3"/>
  <c r="BF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C8" i="3"/>
  <c r="BL8" i="1"/>
  <c r="BL52" i="1"/>
  <c r="BF8" i="3"/>
  <c r="BA8" i="3"/>
  <c r="BE8" i="3"/>
  <c r="AZ8" i="1"/>
  <c r="BH96" i="1"/>
  <c r="AZ8" i="3"/>
  <c r="AX52" i="1"/>
  <c r="BH52" i="1"/>
  <c r="BL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K6" i="3"/>
  <c r="AY7" i="3"/>
  <c r="BF7" i="3"/>
  <c r="AW95" i="1"/>
  <c r="BH7" i="1"/>
  <c r="AV7" i="3"/>
  <c r="BH7" i="3"/>
  <c r="BE7" i="3"/>
  <c r="BG7" i="1"/>
  <c r="BA95" i="1"/>
  <c r="AZ51" i="1"/>
  <c r="BI7" i="3"/>
  <c r="AZ7" i="3"/>
  <c r="BF7" i="1"/>
  <c r="BA7" i="1"/>
  <c r="BB95" i="1"/>
  <c r="BF95" i="1"/>
  <c r="BD7" i="3"/>
  <c r="BK7" i="3"/>
  <c r="BE7" i="1"/>
  <c r="BE100" i="1"/>
  <c r="BH102" i="1"/>
  <c r="AZ7" i="1"/>
  <c r="BL7" i="3"/>
  <c r="AX95" i="1"/>
  <c r="BD7" i="1"/>
  <c r="AZ101" i="1"/>
  <c r="AV100" i="1"/>
  <c r="AV51" i="1"/>
  <c r="AV6" i="3"/>
  <c r="BA7" i="3"/>
  <c r="AY95" i="1"/>
  <c r="BC100" i="1"/>
  <c r="BE95" i="1"/>
  <c r="BB13" i="1"/>
  <c r="BD55" i="1"/>
  <c r="BL101" i="1"/>
  <c r="AX102" i="1"/>
  <c r="BB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C7" i="3"/>
  <c r="BB7" i="1"/>
  <c r="BI51" i="1"/>
  <c r="BI12" i="1"/>
  <c r="AW56" i="1"/>
  <c r="BE102" i="1"/>
  <c r="AW7" i="1"/>
  <c r="AZ11" i="1"/>
  <c r="BK56" i="1"/>
  <c r="BK102" i="1"/>
  <c r="BJ7" i="3"/>
  <c r="BG7" i="3"/>
  <c r="AW7" i="3"/>
  <c r="AX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F6" i="3"/>
  <c r="BB100" i="1"/>
  <c r="BI56" i="1"/>
  <c r="AX101" i="1"/>
  <c r="BE57" i="1"/>
  <c r="BK101" i="1"/>
  <c r="BA58" i="1"/>
  <c r="BH6" i="3"/>
  <c r="AW6" i="3"/>
  <c r="AZ6" i="3"/>
  <c r="BD15" i="3"/>
  <c r="BC15" i="3"/>
  <c r="BL6" i="3"/>
  <c r="AW16" i="3"/>
  <c r="BE6" i="3"/>
  <c r="BJ50" i="1"/>
  <c r="BG50" i="1"/>
  <c r="BI6" i="3"/>
  <c r="AX6" i="3"/>
  <c r="BJ6" i="3"/>
  <c r="AY6" i="3"/>
  <c r="AY6" i="1"/>
  <c r="BL6" i="1"/>
  <c r="BA94" i="1"/>
  <c r="BH94" i="1"/>
  <c r="BC6" i="1"/>
  <c r="BG6" i="3"/>
  <c r="BA6" i="3"/>
  <c r="BB6" i="3"/>
  <c r="BC6" i="3"/>
  <c r="BD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F15" i="3"/>
  <c r="AW15" i="3"/>
  <c r="AY15" i="3"/>
  <c r="BE15" i="3"/>
  <c r="AV15" i="3"/>
  <c r="BB15" i="3"/>
  <c r="BF59" i="1"/>
  <c r="BB59" i="1"/>
  <c r="BI15" i="3"/>
  <c r="AV103" i="1"/>
  <c r="AX15" i="3"/>
  <c r="AY59" i="1"/>
  <c r="BI59" i="1"/>
  <c r="BJ15" i="3"/>
  <c r="BG15" i="3"/>
  <c r="BA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K15" i="3"/>
  <c r="BA59" i="1"/>
  <c r="BJ15" i="1"/>
  <c r="BH15" i="1"/>
  <c r="BK103" i="1"/>
  <c r="BE103" i="1"/>
  <c r="AZ15" i="3"/>
  <c r="AX15" i="1"/>
  <c r="AV15" i="1"/>
  <c r="BF15" i="1"/>
  <c r="BA103" i="1"/>
  <c r="BL15" i="3"/>
  <c r="AW59" i="1"/>
  <c r="AZ15" i="1"/>
  <c r="BD15" i="1"/>
  <c r="BF103" i="1"/>
  <c r="AV16" i="3"/>
  <c r="BI5" i="3"/>
  <c r="BE21" i="3"/>
  <c r="BB5" i="3"/>
  <c r="BF5" i="3"/>
  <c r="BL4" i="3"/>
  <c r="BC4" i="3"/>
  <c r="BJ4" i="3"/>
  <c r="BA4" i="3"/>
  <c r="BE4" i="3"/>
  <c r="AW4" i="1"/>
  <c r="AY4" i="3"/>
  <c r="BK4" i="3"/>
  <c r="BD48" i="1"/>
  <c r="AW4" i="3"/>
  <c r="AV4" i="3"/>
  <c r="BD5" i="3"/>
  <c r="BG5" i="3"/>
  <c r="AZ5" i="3"/>
  <c r="AW92" i="1"/>
  <c r="BE4" i="1"/>
  <c r="BE92" i="1"/>
  <c r="BA4" i="1"/>
  <c r="BG49" i="1"/>
  <c r="AZ5" i="1"/>
  <c r="Z9" i="2"/>
  <c r="B34" i="2" s="1"/>
  <c r="L34" i="2" s="1"/>
  <c r="BF49" i="1"/>
  <c r="BI49" i="1"/>
  <c r="AY5" i="3"/>
  <c r="BD5" i="1"/>
  <c r="AY5" i="1"/>
  <c r="AV49" i="1"/>
  <c r="BL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X5" i="3"/>
  <c r="BE5" i="1"/>
  <c r="AV93" i="1"/>
  <c r="AY93" i="1"/>
  <c r="AZ93" i="1"/>
  <c r="BB93" i="1"/>
  <c r="BE5" i="3"/>
  <c r="BJ5" i="3"/>
  <c r="Z7" i="2"/>
  <c r="B32" i="2" s="1"/>
  <c r="P32" i="2" s="1"/>
  <c r="BC49" i="1"/>
  <c r="AX93" i="1"/>
  <c r="BK93" i="1"/>
  <c r="BL93" i="1"/>
  <c r="BA5" i="3"/>
  <c r="Z5" i="2"/>
  <c r="B30" i="2" s="1"/>
  <c r="D30" i="2" s="1"/>
  <c r="AW93" i="1"/>
  <c r="BJ93" i="1"/>
  <c r="AV5" i="3"/>
  <c r="BC5" i="1"/>
  <c r="BG93" i="1"/>
  <c r="AZ49" i="1"/>
  <c r="BL49" i="1"/>
  <c r="BF5" i="1"/>
  <c r="BK5" i="3"/>
  <c r="BI93" i="1"/>
  <c r="BA5" i="1"/>
  <c r="BH5" i="1"/>
  <c r="AX49" i="1"/>
  <c r="BB49" i="1"/>
  <c r="BJ5" i="1"/>
  <c r="BI5" i="1"/>
  <c r="AV5" i="1"/>
  <c r="BG5" i="1"/>
  <c r="BJ49" i="1"/>
  <c r="AW5" i="3"/>
  <c r="BL5" i="1"/>
  <c r="BK5" i="1"/>
  <c r="AX5" i="1"/>
  <c r="AW5" i="1"/>
  <c r="AW49" i="1"/>
  <c r="BI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H4" i="3"/>
  <c r="BI4" i="3"/>
  <c r="BF4" i="3"/>
  <c r="Z6" i="2"/>
  <c r="B31" i="2" s="1"/>
  <c r="R31" i="2" s="1"/>
  <c r="BB92" i="1"/>
  <c r="BJ48" i="1"/>
  <c r="BK4" i="1"/>
  <c r="AX92" i="1"/>
  <c r="BC92" i="1"/>
  <c r="BC4" i="1"/>
  <c r="BG92" i="1"/>
  <c r="AY4" i="1"/>
  <c r="BA20" i="3"/>
  <c r="BD4" i="3"/>
  <c r="Z8" i="2"/>
  <c r="B33" i="2" s="1"/>
  <c r="R33" i="2" s="1"/>
  <c r="BF4" i="1"/>
  <c r="BL92" i="1"/>
  <c r="AY48" i="1"/>
  <c r="BC48" i="1"/>
  <c r="AZ4" i="3"/>
  <c r="BB4" i="3"/>
  <c r="Z4" i="2"/>
  <c r="B29" i="2" s="1"/>
  <c r="E29" i="2" s="1"/>
  <c r="BA92" i="1"/>
  <c r="BE48" i="1"/>
  <c r="BK48" i="1"/>
  <c r="AV4" i="1"/>
  <c r="BD92" i="1"/>
  <c r="BB4" i="1"/>
  <c r="AV92" i="1"/>
  <c r="BG4" i="3"/>
  <c r="BG4" i="1"/>
  <c r="AZ48" i="1"/>
  <c r="BH92" i="1"/>
  <c r="AZ92" i="1"/>
  <c r="BK92" i="1"/>
  <c r="BL48" i="1"/>
  <c r="AX18" i="1"/>
  <c r="BL105" i="1"/>
  <c r="BC19" i="3"/>
  <c r="AW21" i="3"/>
  <c r="BG17" i="3"/>
  <c r="AV17" i="3"/>
  <c r="BB16" i="3"/>
  <c r="BC16" i="3"/>
  <c r="AW62" i="1"/>
  <c r="BH108" i="1"/>
  <c r="AV18" i="3"/>
  <c r="BF21" i="3"/>
  <c r="BD17" i="3"/>
  <c r="BH21" i="3"/>
  <c r="BE20" i="3"/>
  <c r="BJ16" i="3"/>
  <c r="AY16" i="3"/>
  <c r="BA21" i="3"/>
  <c r="AV20" i="3"/>
  <c r="BI20" i="3"/>
  <c r="BB21" i="3"/>
  <c r="BB18" i="3"/>
  <c r="AW60" i="1"/>
  <c r="AZ19" i="3"/>
  <c r="BB17" i="3"/>
  <c r="BA19" i="3"/>
  <c r="BB61" i="1"/>
  <c r="BJ18" i="3"/>
  <c r="AX17" i="3"/>
  <c r="BJ20" i="3"/>
  <c r="AY20" i="3"/>
  <c r="BG19" i="3"/>
  <c r="BC18" i="3"/>
  <c r="BI17" i="3"/>
  <c r="BJ17" i="3"/>
  <c r="AY17" i="3"/>
  <c r="BE16" i="3"/>
  <c r="AZ17" i="1"/>
  <c r="BH109" i="1"/>
  <c r="AX104" i="1"/>
  <c r="BK19" i="3"/>
  <c r="BL18" i="1"/>
  <c r="BI16" i="3"/>
  <c r="AX16" i="3"/>
  <c r="BF65" i="1"/>
  <c r="BE19" i="3"/>
  <c r="BH17" i="3"/>
  <c r="BD16" i="3"/>
  <c r="BC21" i="3"/>
  <c r="BK20" i="3"/>
  <c r="AZ20" i="3"/>
  <c r="AV19" i="3"/>
  <c r="BD18" i="3"/>
  <c r="BE18" i="3"/>
  <c r="BK17" i="3"/>
  <c r="BL17" i="3"/>
  <c r="BF16" i="3"/>
  <c r="AZ18" i="1"/>
  <c r="BA106" i="1"/>
  <c r="BI61" i="1"/>
  <c r="BK18" i="3"/>
  <c r="BJ21" i="3"/>
  <c r="BA18" i="3"/>
  <c r="AX20" i="3"/>
  <c r="BF19" i="3"/>
  <c r="AW17" i="3"/>
  <c r="BH20" i="3"/>
  <c r="BD21" i="3"/>
  <c r="BL20" i="3"/>
  <c r="BH19" i="3"/>
  <c r="AW19" i="3"/>
  <c r="AX19" i="3"/>
  <c r="AY19" i="3"/>
  <c r="BG18" i="3"/>
  <c r="BA17" i="3"/>
  <c r="BG16" i="3"/>
  <c r="AY108" i="1"/>
  <c r="AZ60" i="1"/>
  <c r="BG21" i="3"/>
  <c r="AV21" i="3"/>
  <c r="BD20" i="3"/>
  <c r="BL19" i="3"/>
  <c r="BH18" i="3"/>
  <c r="AW18" i="3"/>
  <c r="BI21" i="1"/>
  <c r="AW64" i="1"/>
  <c r="BF16" i="1"/>
  <c r="BI65" i="1"/>
  <c r="AW17" i="1"/>
  <c r="AV20" i="1"/>
  <c r="BC20" i="3"/>
  <c r="BH16" i="3"/>
  <c r="BB19" i="3"/>
  <c r="AY18" i="3"/>
  <c r="BI21" i="3"/>
  <c r="AX21" i="3"/>
  <c r="BF20" i="3"/>
  <c r="BG20" i="3"/>
  <c r="BK109" i="1"/>
  <c r="AY21" i="3"/>
  <c r="BF62" i="1"/>
  <c r="BH104" i="1"/>
  <c r="AX18" i="3"/>
  <c r="BC17" i="3"/>
  <c r="BD19" i="3"/>
  <c r="AZ18" i="3"/>
  <c r="BK16" i="3"/>
  <c r="AZ16" i="3"/>
  <c r="BK21" i="3"/>
  <c r="AX64" i="1"/>
  <c r="AZ65" i="1"/>
  <c r="AV19" i="1"/>
  <c r="BE17" i="3"/>
  <c r="AW20" i="3"/>
  <c r="BL18" i="3"/>
  <c r="BF17" i="3"/>
  <c r="BL16" i="3"/>
  <c r="BA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I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AZ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L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B20" i="3"/>
  <c r="BJ19" i="3"/>
  <c r="BF18" i="3"/>
  <c r="AZ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K28" i="2" l="1"/>
  <c r="C28" i="2"/>
  <c r="D28" i="2"/>
  <c r="O28" i="2"/>
  <c r="J28" i="2"/>
  <c r="N28" i="2"/>
  <c r="M28" i="2"/>
  <c r="L28" i="2"/>
  <c r="I28" i="2"/>
  <c r="H28" i="2"/>
  <c r="G28" i="2"/>
  <c r="F28" i="2"/>
  <c r="R28" i="2"/>
  <c r="Q28" i="2"/>
  <c r="E28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X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T27" i="2" l="1"/>
  <c r="V31" i="2"/>
  <c r="U32" i="2"/>
  <c r="V27" i="2"/>
  <c r="S27" i="2"/>
  <c r="T34" i="2"/>
  <c r="U34" i="2"/>
  <c r="S30" i="2"/>
  <c r="V30" i="2"/>
  <c r="T31" i="2"/>
  <c r="U30" i="2"/>
  <c r="T32" i="2"/>
  <c r="S28" i="2"/>
  <c r="S34" i="2"/>
  <c r="S31" i="2"/>
  <c r="V28" i="2"/>
  <c r="T28" i="2"/>
  <c r="U28" i="2"/>
  <c r="V29" i="2"/>
  <c r="U31" i="2"/>
  <c r="S29" i="2"/>
  <c r="T33" i="2"/>
  <c r="T30" i="2"/>
  <c r="U33" i="2"/>
  <c r="U29" i="2"/>
  <c r="V33" i="2"/>
  <c r="T29" i="2"/>
  <c r="S33" i="2"/>
  <c r="V34" i="2"/>
  <c r="S32" i="2"/>
  <c r="U27" i="2"/>
  <c r="V32" i="2"/>
  <c r="A27" i="2" l="1"/>
  <c r="A34" i="2"/>
  <c r="A30" i="2"/>
  <c r="A33" i="2"/>
  <c r="A29" i="2"/>
  <c r="A31" i="2"/>
  <c r="A32" i="2"/>
  <c r="A28" i="2"/>
  <c r="B37" i="2" l="1"/>
  <c r="C38" i="2"/>
  <c r="C5" i="3" s="1"/>
  <c r="B38" i="2"/>
  <c r="C37" i="2"/>
  <c r="C4" i="3" s="1"/>
  <c r="B41" i="2"/>
  <c r="B39" i="2"/>
  <c r="B40" i="2"/>
  <c r="B42" i="2"/>
  <c r="C40" i="2"/>
  <c r="C7" i="3" s="1"/>
  <c r="C41" i="2"/>
  <c r="G7" i="3" s="1"/>
  <c r="C44" i="2"/>
  <c r="G4" i="3" s="1"/>
  <c r="C42" i="2"/>
  <c r="G6" i="3" s="1"/>
  <c r="B44" i="2"/>
  <c r="C43" i="2"/>
  <c r="G5" i="3" s="1"/>
  <c r="B43" i="2"/>
  <c r="C39" i="2"/>
  <c r="C6" i="3" s="1"/>
</calcChain>
</file>

<file path=xl/sharedStrings.xml><?xml version="1.0" encoding="utf-8"?>
<sst xmlns="http://schemas.openxmlformats.org/spreadsheetml/2006/main" count="1580" uniqueCount="94">
  <si>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</si>
  <si>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</si>
  <si>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</si>
  <si>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</si>
  <si>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</si>
  <si>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</si>
  <si>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</si>
  <si>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</si>
  <si>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</si>
  <si>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</si>
  <si>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</si>
  <si>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</si>
  <si>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</si>
  <si>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</si>
  <si>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</si>
  <si>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</si>
  <si>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</si>
  <si>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</si>
  <si>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</si>
  <si>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</si>
  <si>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</si>
  <si>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</si>
  <si>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</si>
  <si>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</si>
  <si>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</si>
  <si>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</si>
  <si>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</si>
  <si>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</si>
  <si>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</si>
  <si>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</si>
  <si>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</si>
  <si>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</si>
  <si>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</si>
  <si>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</si>
  <si>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</si>
  <si>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</si>
  <si>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</si>
  <si>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</si>
  <si>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</si>
  <si>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</si>
  <si>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</si>
  <si>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</si>
  <si>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</si>
  <si>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</si>
  <si>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</si>
  <si>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</si>
  <si>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</si>
  <si>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</si>
  <si>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</si>
  <si>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</si>
  <si>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</si>
  <si>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</si>
  <si>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Chéquia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</si>
  <si>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</si>
  <si>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</si>
  <si>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</si>
  <si>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</si>
  <si>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</si>
  <si>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</si>
  <si>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</si>
  <si>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</si>
  <si>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</si>
  <si>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</si>
  <si>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</si>
  <si>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</si>
  <si>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</si>
  <si>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</si>
  <si>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</si>
  <si>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</si>
  <si>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</si>
  <si>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</si>
  <si>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</si>
  <si>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</si>
  <si>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</si>
  <si>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</si>
  <si>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Países Baixos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</si>
  <si>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</si>
  <si>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</si>
  <si>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</si>
  <si>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</si>
  <si>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</si>
  <si>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</si>
  <si>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</si>
  <si>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</si>
  <si>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</si>
  <si>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</si>
  <si>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</si>
  <si>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</si>
  <si>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</si>
  <si>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</si>
  <si>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</si>
  <si>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</si>
  <si>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</si>
  <si>
    <t>Eliminado da VNL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</si>
</sst>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B9B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1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8"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9B9B"/>
      <color rgb="FFFFCCCC"/>
      <color rgb="FFFF7D7D"/>
      <color rgb="FFCC6600"/>
      <color rgb="FFFF6600"/>
      <color rgb="FFFF3300"/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58" t="s">
        <v>14</v>
      </c>
      <c r="E1" s="58"/>
      <c r="F1" s="58"/>
      <c r="G1" s="58" t="s">
        <v>60</v>
      </c>
      <c r="H1" s="58"/>
      <c r="I1" s="58"/>
      <c r="J1" s="58"/>
      <c r="K1" s="58"/>
      <c r="L1" s="58"/>
      <c r="M1" s="58" t="s">
        <v>61</v>
      </c>
      <c r="N1" s="58"/>
      <c r="O1" s="58"/>
      <c r="P1" s="58" t="s">
        <v>62</v>
      </c>
      <c r="Q1" s="58"/>
      <c r="R1" s="58"/>
      <c r="S1" s="58" t="s">
        <v>63</v>
      </c>
      <c r="T1" s="58"/>
      <c r="U1" s="58"/>
      <c r="V1" s="58"/>
      <c r="W1" s="58"/>
      <c r="Y1" s="1" t="s">
        <v>85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62</v>
      </c>
      <c r="T2" s="2" t="s">
        <v>64</v>
      </c>
      <c r="U2" s="2" t="s">
        <v>65</v>
      </c>
      <c r="V2" s="2" t="s">
        <v>67</v>
      </c>
      <c r="W2" s="2" t="s">
        <v>66</v>
      </c>
    </row>
    <row r="3" spans="1:27" x14ac:dyDescent="0.25">
      <c r="A3" s="1">
        <f>RANK(E3,$E$3:$E$20)+SUM(S3:V3)</f>
        <v>7</v>
      </c>
      <c r="B3" s="1" t="s">
        <v>42</v>
      </c>
      <c r="C3" s="1">
        <f>SUM(G3*3,H3*3,I3*2,J3)</f>
        <v>14</v>
      </c>
      <c r="D3" s="1">
        <f>E3+F3</f>
        <v>8</v>
      </c>
      <c r="E3" s="1">
        <f>COUNTIF(Jogos!AB:AB,Dummy!B3)</f>
        <v>4</v>
      </c>
      <c r="F3" s="1">
        <f>COUNTIF(Jogos!AL:AL,Dummy!B3)</f>
        <v>4</v>
      </c>
      <c r="G3" s="1">
        <f>SUMIF(Jogos!$AB:$AB,Dummy!$B3,Jogos!AF:AF)</f>
        <v>1</v>
      </c>
      <c r="H3" s="1">
        <f>SUMIF(Jogos!$AB:$AB,Dummy!$B3,Jogos!AG:AG)</f>
        <v>2</v>
      </c>
      <c r="I3" s="1">
        <f>SUMIF(Jogos!$AB:$AB,Dummy!$B3,Jogos!AH:AH)</f>
        <v>1</v>
      </c>
      <c r="J3" s="1">
        <f>SUMIF(Jogos!$AL:$AL,Dummy!$B3,Jogos!AP:AP)</f>
        <v>3</v>
      </c>
      <c r="K3" s="1">
        <f>SUMIF(Jogos!$AL:$AL,Dummy!$B3,Jogos!AQ:AQ)</f>
        <v>0</v>
      </c>
      <c r="L3" s="1">
        <f>SUMIF(Jogos!$AL:$AL,Dummy!$B3,Jogos!AR:AR)</f>
        <v>1</v>
      </c>
      <c r="M3" s="1">
        <f>SUMIF(Jogos!AB:AB,B3,Jogos!AD:AD)+SUMIF(Jogos!AL:AL,B3,Jogos!AN:AN)</f>
        <v>18</v>
      </c>
      <c r="N3" s="1">
        <f>SUMIF(Jogos!AB:AB,B3,Jogos!AE:AE)+SUMIF(Jogos!AL:AL,B3,Jogos!AO:AO)</f>
        <v>16</v>
      </c>
      <c r="O3" s="15">
        <f>IFERROR((M3/N3)*1000,"MAX")</f>
        <v>1125</v>
      </c>
      <c r="P3" s="1">
        <f>SUMIF(Jogos!AB:AB,B3,Jogos!AI:AI)+SUMIF(Jogos!AL:AL,B3,Jogos!AS:AS)</f>
        <v>721</v>
      </c>
      <c r="Q3" s="1">
        <f>SUMIF(Jogos!AB:AB,B3,Jogos!AJ:AJ)+SUMIF(Jogos!AL:AL,B3,Jogos!AT:AT)</f>
        <v>738</v>
      </c>
      <c r="R3" s="15">
        <f t="shared" ref="R3:R20" si="0">IFERROR((P3/Q3)*1000,"MAX")</f>
        <v>976.96476964769647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13</v>
      </c>
      <c r="B4" s="1" t="s">
        <v>48</v>
      </c>
      <c r="C4" s="1">
        <f t="shared" ref="C4:C20" si="2">SUM(G4*3,H4*3,I4*2,J4)</f>
        <v>8</v>
      </c>
      <c r="D4" s="1">
        <f t="shared" ref="D4:D20" si="3">E4+F4</f>
        <v>8</v>
      </c>
      <c r="E4" s="1">
        <f>COUNTIF(Jogos!AB:AB,Dummy!B4)</f>
        <v>3</v>
      </c>
      <c r="F4" s="1">
        <f>COUNTIF(Jogos!AL:AL,Dummy!B4)</f>
        <v>5</v>
      </c>
      <c r="G4" s="1">
        <f>SUMIF(Jogos!$AB:$AB,Dummy!$B4,Jogos!AF:AF)</f>
        <v>0</v>
      </c>
      <c r="H4" s="1">
        <f>SUMIF(Jogos!$AB:$AB,Dummy!$B4,Jogos!AG:AG)</f>
        <v>2</v>
      </c>
      <c r="I4" s="1">
        <f>SUMIF(Jogos!$AB:$AB,Dummy!$B4,Jogos!AH:AH)</f>
        <v>1</v>
      </c>
      <c r="J4" s="1">
        <f>SUMIF(Jogos!$AL:$AL,Dummy!$B4,Jogos!AP:AP)</f>
        <v>0</v>
      </c>
      <c r="K4" s="1">
        <f>SUMIF(Jogos!$AL:$AL,Dummy!$B4,Jogos!AQ:AQ)</f>
        <v>2</v>
      </c>
      <c r="L4" s="1">
        <f>SUMIF(Jogos!$AL:$AL,Dummy!$B4,Jogos!AR:AR)</f>
        <v>3</v>
      </c>
      <c r="M4" s="1">
        <f>SUMIF(Jogos!AB:AB,B4,Jogos!AD:AD)+SUMIF(Jogos!AL:AL,B4,Jogos!AN:AN)</f>
        <v>11</v>
      </c>
      <c r="N4" s="1">
        <f>SUMIF(Jogos!AB:AB,B4,Jogos!AE:AE)+SUMIF(Jogos!AL:AL,B4,Jogos!AO:AO)</f>
        <v>19</v>
      </c>
      <c r="O4" s="15">
        <f t="shared" ref="O4:O20" si="4">IFERROR((M4/N4)*1000,"MAX")</f>
        <v>578.9473684210526</v>
      </c>
      <c r="P4" s="1">
        <f>SUMIF(Jogos!AB:AB,B4,Jogos!AI:AI)+SUMIF(Jogos!AL:AL,B4,Jogos!AS:AS)</f>
        <v>633</v>
      </c>
      <c r="Q4" s="1">
        <f>SUMIF(Jogos!AB:AB,B4,Jogos!AJ:AJ)+SUMIF(Jogos!AL:AL,B4,Jogos!AT:AT)</f>
        <v>694</v>
      </c>
      <c r="R4" s="15">
        <f t="shared" si="0"/>
        <v>912.10374639769452</v>
      </c>
      <c r="S4" s="1">
        <f t="shared" ref="S4:S20" si="5">SUMPRODUCT(($E$3:$E$20=E4)*($C$3:$C$20&gt;C4))</f>
        <v>3</v>
      </c>
      <c r="T4" s="1">
        <f t="shared" ref="T4:T20" si="6">SUMPRODUCT(($E$3:$E$20=E4)*($C$3:$C$20=C4)*($O$3:$O$20&gt;O4))</f>
        <v>0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9" si="9">IF(Y4&gt;=$A$16,Y4+$AA$3,Y4)</f>
        <v>3</v>
      </c>
    </row>
    <row r="5" spans="1:27" x14ac:dyDescent="0.25">
      <c r="A5" s="1">
        <f t="shared" si="1"/>
        <v>3</v>
      </c>
      <c r="B5" s="1" t="s">
        <v>49</v>
      </c>
      <c r="C5" s="1">
        <f t="shared" si="2"/>
        <v>20</v>
      </c>
      <c r="D5" s="1">
        <f t="shared" si="3"/>
        <v>8</v>
      </c>
      <c r="E5" s="1">
        <f>COUNTIF(Jogos!AB:AB,Dummy!B5)</f>
        <v>7</v>
      </c>
      <c r="F5" s="1">
        <f>COUNTIF(Jogos!AL:AL,Dummy!B5)</f>
        <v>1</v>
      </c>
      <c r="G5" s="1">
        <f>SUMIF(Jogos!$AB:$AB,Dummy!$B5,Jogos!AF:AF)</f>
        <v>4</v>
      </c>
      <c r="H5" s="1">
        <f>SUMIF(Jogos!$AB:$AB,Dummy!$B5,Jogos!AG:AG)</f>
        <v>2</v>
      </c>
      <c r="I5" s="1">
        <f>SUMIF(Jogos!$AB:$AB,Dummy!$B5,Jogos!AH:AH)</f>
        <v>1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1</v>
      </c>
      <c r="M5" s="1">
        <f>SUMIF(Jogos!AB:AB,B5,Jogos!AD:AD)+SUMIF(Jogos!AL:AL,B5,Jogos!AN:AN)</f>
        <v>21</v>
      </c>
      <c r="N5" s="1">
        <f>SUMIF(Jogos!AB:AB,B5,Jogos!AE:AE)+SUMIF(Jogos!AL:AL,B5,Jogos!AO:AO)</f>
        <v>7</v>
      </c>
      <c r="O5" s="15">
        <f t="shared" si="4"/>
        <v>3000</v>
      </c>
      <c r="P5" s="1">
        <f>SUMIF(Jogos!AB:AB,B5,Jogos!AI:AI)+SUMIF(Jogos!AL:AL,B5,Jogos!AS:AS)</f>
        <v>673</v>
      </c>
      <c r="Q5" s="1">
        <f>SUMIF(Jogos!AB:AB,B5,Jogos!AJ:AJ)+SUMIF(Jogos!AL:AL,B5,Jogos!AT:AT)</f>
        <v>579</v>
      </c>
      <c r="R5" s="15">
        <f t="shared" si="0"/>
        <v>1162.348877374784</v>
      </c>
      <c r="S5" s="1">
        <f t="shared" si="5"/>
        <v>1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4</v>
      </c>
    </row>
    <row r="6" spans="1:27" x14ac:dyDescent="0.25">
      <c r="A6" s="1">
        <f t="shared" si="1"/>
        <v>12</v>
      </c>
      <c r="B6" s="1" t="s">
        <v>50</v>
      </c>
      <c r="C6" s="1">
        <f t="shared" si="2"/>
        <v>9</v>
      </c>
      <c r="D6" s="1">
        <f t="shared" si="3"/>
        <v>8</v>
      </c>
      <c r="E6" s="1">
        <f>COUNTIF(Jogos!AB:AB,Dummy!B6)</f>
        <v>3</v>
      </c>
      <c r="F6" s="1">
        <f>COUNTIF(Jogos!AL:AL,Dummy!B6)</f>
        <v>5</v>
      </c>
      <c r="G6" s="1">
        <f>SUMIF(Jogos!$AB:$AB,Dummy!$B6,Jogos!AF:AF)</f>
        <v>0</v>
      </c>
      <c r="H6" s="1">
        <f>SUMIF(Jogos!$AB:$AB,Dummy!$B6,Jogos!AG:AG)</f>
        <v>1</v>
      </c>
      <c r="I6" s="1">
        <f>SUMIF(Jogos!$AB:$AB,Dummy!$B6,Jogos!AH:AH)</f>
        <v>2</v>
      </c>
      <c r="J6" s="1">
        <f>SUMIF(Jogos!$AL:$AL,Dummy!$B6,Jogos!AP:AP)</f>
        <v>2</v>
      </c>
      <c r="K6" s="1">
        <f>SUMIF(Jogos!$AL:$AL,Dummy!$B6,Jogos!AQ:AQ)</f>
        <v>1</v>
      </c>
      <c r="L6" s="1">
        <f>SUMIF(Jogos!$AL:$AL,Dummy!$B6,Jogos!AR:AR)</f>
        <v>2</v>
      </c>
      <c r="M6" s="1">
        <f>SUMIF(Jogos!AB:AB,B6,Jogos!AD:AD)+SUMIF(Jogos!AL:AL,B6,Jogos!AN:AN)</f>
        <v>14</v>
      </c>
      <c r="N6" s="1">
        <f>SUMIF(Jogos!AB:AB,B6,Jogos!AE:AE)+SUMIF(Jogos!AL:AL,B6,Jogos!AO:AO)</f>
        <v>20</v>
      </c>
      <c r="O6" s="15">
        <f t="shared" si="4"/>
        <v>700</v>
      </c>
      <c r="P6" s="1">
        <f>SUMIF(Jogos!AB:AB,B6,Jogos!AI:AI)+SUMIF(Jogos!AL:AL,B6,Jogos!AS:AS)</f>
        <v>693</v>
      </c>
      <c r="Q6" s="1">
        <f>SUMIF(Jogos!AB:AB,B6,Jogos!AJ:AJ)+SUMIF(Jogos!AL:AL,B6,Jogos!AT:AT)</f>
        <v>775</v>
      </c>
      <c r="R6" s="15">
        <f t="shared" si="0"/>
        <v>894.19354838709671</v>
      </c>
      <c r="S6" s="1">
        <f t="shared" si="5"/>
        <v>2</v>
      </c>
      <c r="T6" s="1">
        <f t="shared" si="6"/>
        <v>0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14</v>
      </c>
      <c r="B7" s="1" t="s">
        <v>51</v>
      </c>
      <c r="C7" s="1">
        <f t="shared" si="2"/>
        <v>6</v>
      </c>
      <c r="D7" s="1">
        <f t="shared" si="3"/>
        <v>8</v>
      </c>
      <c r="E7" s="1">
        <f>COUNTIF(Jogos!AB:AB,Dummy!B7)</f>
        <v>2</v>
      </c>
      <c r="F7" s="1">
        <f>COUNTIF(Jogos!AL:AL,Dummy!B7)</f>
        <v>6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2</v>
      </c>
      <c r="J7" s="1">
        <f>SUMIF(Jogos!$AL:$AL,Dummy!$B7,Jogos!AP:AP)</f>
        <v>2</v>
      </c>
      <c r="K7" s="1">
        <f>SUMIF(Jogos!$AL:$AL,Dummy!$B7,Jogos!AQ:AQ)</f>
        <v>1</v>
      </c>
      <c r="L7" s="1">
        <f>SUMIF(Jogos!$AL:$AL,Dummy!$B7,Jogos!AR:AR)</f>
        <v>3</v>
      </c>
      <c r="M7" s="1">
        <f>SUMIF(Jogos!AB:AB,B7,Jogos!AD:AD)+SUMIF(Jogos!AL:AL,B7,Jogos!AN:AN)</f>
        <v>11</v>
      </c>
      <c r="N7" s="1">
        <f>SUMIF(Jogos!AB:AB,B7,Jogos!AE:AE)+SUMIF(Jogos!AL:AL,B7,Jogos!AO:AO)</f>
        <v>22</v>
      </c>
      <c r="O7" s="15">
        <f t="shared" si="4"/>
        <v>500</v>
      </c>
      <c r="P7" s="1">
        <f>SUMIF(Jogos!AB:AB,B7,Jogos!AI:AI)+SUMIF(Jogos!AL:AL,B7,Jogos!AS:AS)</f>
        <v>685</v>
      </c>
      <c r="Q7" s="1">
        <f>SUMIF(Jogos!AB:AB,B7,Jogos!AJ:AJ)+SUMIF(Jogos!AL:AL,B7,Jogos!AT:AT)</f>
        <v>721</v>
      </c>
      <c r="R7" s="15">
        <f t="shared" si="0"/>
        <v>950.06934812760062</v>
      </c>
      <c r="S7" s="1">
        <f t="shared" si="5"/>
        <v>0</v>
      </c>
      <c r="T7" s="1">
        <f t="shared" si="6"/>
        <v>0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15</v>
      </c>
      <c r="B8" s="1" t="s">
        <v>59</v>
      </c>
      <c r="C8" s="1">
        <f t="shared" si="2"/>
        <v>4</v>
      </c>
      <c r="D8" s="1">
        <f t="shared" si="3"/>
        <v>4</v>
      </c>
      <c r="E8" s="1">
        <f>COUNTIF(Jogos!AB:AB,Dummy!B8)</f>
        <v>2</v>
      </c>
      <c r="F8" s="1">
        <f>COUNTIF(Jogos!AL:AL,Dummy!B8)</f>
        <v>2</v>
      </c>
      <c r="G8" s="1">
        <f>SUMIF(Jogos!$AB:$AB,Dummy!$B8,Jogos!AF:AF)</f>
        <v>0</v>
      </c>
      <c r="H8" s="1">
        <f>SUMIF(Jogos!$AB:$AB,Dummy!$B8,Jogos!AG:AG)</f>
        <v>0</v>
      </c>
      <c r="I8" s="1">
        <f>SUMIF(Jogos!$AB:$AB,Dummy!$B8,Jogos!AH:AH)</f>
        <v>2</v>
      </c>
      <c r="J8" s="1">
        <f>SUMIF(Jogos!$AL:$AL,Dummy!$B8,Jogos!AP:AP)</f>
        <v>0</v>
      </c>
      <c r="K8" s="1">
        <f>SUMIF(Jogos!$AL:$AL,Dummy!$B8,Jogos!AQ:AQ)</f>
        <v>1</v>
      </c>
      <c r="L8" s="1">
        <f>SUMIF(Jogos!$AL:$AL,Dummy!$B8,Jogos!AR:AR)</f>
        <v>1</v>
      </c>
      <c r="M8" s="1">
        <f>SUMIF(Jogos!AB:AB,B8,Jogos!AD:AD)+SUMIF(Jogos!AL:AL,B8,Jogos!AN:AN)</f>
        <v>7</v>
      </c>
      <c r="N8" s="1">
        <f>SUMIF(Jogos!AB:AB,B8,Jogos!AE:AE)+SUMIF(Jogos!AL:AL,B8,Jogos!AO:AO)</f>
        <v>10</v>
      </c>
      <c r="O8" s="15">
        <f t="shared" si="4"/>
        <v>700</v>
      </c>
      <c r="P8" s="1">
        <f>SUMIF(Jogos!AB:AB,B8,Jogos!AI:AI)+SUMIF(Jogos!AL:AL,B8,Jogos!AS:AS)</f>
        <v>369</v>
      </c>
      <c r="Q8" s="1">
        <f>SUMIF(Jogos!AB:AB,B8,Jogos!AJ:AJ)+SUMIF(Jogos!AL:AL,B8,Jogos!AT:AT)</f>
        <v>369</v>
      </c>
      <c r="R8" s="15">
        <f t="shared" si="0"/>
        <v>1000</v>
      </c>
      <c r="S8" s="1">
        <f t="shared" si="5"/>
        <v>1</v>
      </c>
      <c r="T8" s="1">
        <f t="shared" si="6"/>
        <v>0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6</v>
      </c>
      <c r="B9" s="1" t="s">
        <v>53</v>
      </c>
      <c r="C9" s="1">
        <f t="shared" si="2"/>
        <v>15</v>
      </c>
      <c r="D9" s="1">
        <f t="shared" si="3"/>
        <v>8</v>
      </c>
      <c r="E9" s="1">
        <f>COUNTIF(Jogos!AB:AB,Dummy!B9)</f>
        <v>5</v>
      </c>
      <c r="F9" s="1">
        <f>COUNTIF(Jogos!AL:AL,Dummy!B9)</f>
        <v>3</v>
      </c>
      <c r="G9" s="1">
        <f>SUMIF(Jogos!$AB:$AB,Dummy!$B9,Jogos!AF:AF)</f>
        <v>2</v>
      </c>
      <c r="H9" s="1">
        <f>SUMIF(Jogos!$AB:$AB,Dummy!$B9,Jogos!AG:AG)</f>
        <v>2</v>
      </c>
      <c r="I9" s="1">
        <f>SUMIF(Jogos!$AB:$AB,Dummy!$B9,Jogos!AH:AH)</f>
        <v>1</v>
      </c>
      <c r="J9" s="1">
        <f>SUMIF(Jogos!$AL:$AL,Dummy!$B9,Jogos!AP:AP)</f>
        <v>1</v>
      </c>
      <c r="K9" s="1">
        <f>SUMIF(Jogos!$AL:$AL,Dummy!$B9,Jogos!AQ:AQ)</f>
        <v>1</v>
      </c>
      <c r="L9" s="1">
        <f>SUMIF(Jogos!$AL:$AL,Dummy!$B9,Jogos!AR:AR)</f>
        <v>1</v>
      </c>
      <c r="M9" s="1">
        <f>SUMIF(Jogos!AB:AB,B9,Jogos!AD:AD)+SUMIF(Jogos!AL:AL,B9,Jogos!AN:AN)</f>
        <v>18</v>
      </c>
      <c r="N9" s="1">
        <f>SUMIF(Jogos!AB:AB,B9,Jogos!AE:AE)+SUMIF(Jogos!AL:AL,B9,Jogos!AO:AO)</f>
        <v>13</v>
      </c>
      <c r="O9" s="15">
        <f t="shared" si="4"/>
        <v>1384.6153846153845</v>
      </c>
      <c r="P9" s="1">
        <f>SUMIF(Jogos!AB:AB,B9,Jogos!AI:AI)+SUMIF(Jogos!AL:AL,B9,Jogos!AS:AS)</f>
        <v>722</v>
      </c>
      <c r="Q9" s="1">
        <f>SUMIF(Jogos!AB:AB,B9,Jogos!AJ:AJ)+SUMIF(Jogos!AL:AL,B9,Jogos!AT:AT)</f>
        <v>659</v>
      </c>
      <c r="R9" s="15">
        <f t="shared" si="0"/>
        <v>1095.5993930197267</v>
      </c>
      <c r="S9" s="1">
        <f t="shared" si="5"/>
        <v>0</v>
      </c>
      <c r="T9" s="1">
        <f t="shared" si="6"/>
        <v>0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17</v>
      </c>
      <c r="B10" s="1" t="s">
        <v>54</v>
      </c>
      <c r="C10" s="1">
        <f t="shared" si="2"/>
        <v>4</v>
      </c>
      <c r="D10" s="1">
        <f t="shared" si="3"/>
        <v>8</v>
      </c>
      <c r="E10" s="1">
        <f>COUNTIF(Jogos!AB:AB,Dummy!B10)</f>
        <v>1</v>
      </c>
      <c r="F10" s="1">
        <f>COUNTIF(Jogos!AL:AL,Dummy!B10)</f>
        <v>7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1</v>
      </c>
      <c r="J10" s="1">
        <f>SUMIF(Jogos!$AL:$AL,Dummy!$B10,Jogos!AP:AP)</f>
        <v>2</v>
      </c>
      <c r="K10" s="1">
        <f>SUMIF(Jogos!$AL:$AL,Dummy!$B10,Jogos!AQ:AQ)</f>
        <v>1</v>
      </c>
      <c r="L10" s="1">
        <f>SUMIF(Jogos!$AL:$AL,Dummy!$B10,Jogos!AR:AR)</f>
        <v>4</v>
      </c>
      <c r="M10" s="1">
        <f>SUMIF(Jogos!AB:AB,B10,Jogos!AD:AD)+SUMIF(Jogos!AL:AL,B10,Jogos!AN:AN)</f>
        <v>8</v>
      </c>
      <c r="N10" s="1">
        <f>SUMIF(Jogos!AB:AB,B10,Jogos!AE:AE)+SUMIF(Jogos!AL:AL,B10,Jogos!AO:AO)</f>
        <v>23</v>
      </c>
      <c r="O10" s="15">
        <f t="shared" si="4"/>
        <v>347.82608695652175</v>
      </c>
      <c r="P10" s="1">
        <f>SUMIF(Jogos!AB:AB,B10,Jogos!AI:AI)+SUMIF(Jogos!AL:AL,B10,Jogos!AS:AS)</f>
        <v>563</v>
      </c>
      <c r="Q10" s="1">
        <f>SUMIF(Jogos!AB:AB,B10,Jogos!AJ:AJ)+SUMIF(Jogos!AL:AL,B10,Jogos!AT:AT)</f>
        <v>717</v>
      </c>
      <c r="R10" s="15">
        <f t="shared" si="0"/>
        <v>785.21617852161785</v>
      </c>
      <c r="S10" s="1">
        <f t="shared" si="5"/>
        <v>1</v>
      </c>
      <c r="T10" s="1">
        <f t="shared" si="6"/>
        <v>0</v>
      </c>
      <c r="U10" s="1">
        <f t="shared" si="7"/>
        <v>0</v>
      </c>
      <c r="V10" s="1">
        <f t="shared" si="8"/>
        <v>0</v>
      </c>
      <c r="W10" s="1">
        <v>7</v>
      </c>
    </row>
    <row r="11" spans="1:27" x14ac:dyDescent="0.25">
      <c r="A11" s="1">
        <f t="shared" si="1"/>
        <v>8</v>
      </c>
      <c r="B11" s="1" t="s">
        <v>55</v>
      </c>
      <c r="C11" s="1">
        <f t="shared" si="2"/>
        <v>11</v>
      </c>
      <c r="D11" s="1">
        <f t="shared" si="3"/>
        <v>8</v>
      </c>
      <c r="E11" s="1">
        <f>COUNTIF(Jogos!AB:AB,Dummy!B11)</f>
        <v>4</v>
      </c>
      <c r="F11" s="1">
        <f>COUNTIF(Jogos!AL:AL,Dummy!B11)</f>
        <v>4</v>
      </c>
      <c r="G11" s="1">
        <f>SUMIF(Jogos!$AB:$AB,Dummy!$B11,Jogos!AF:AF)</f>
        <v>2</v>
      </c>
      <c r="H11" s="1">
        <f>SUMIF(Jogos!$AB:$AB,Dummy!$B11,Jogos!AG:AG)</f>
        <v>0</v>
      </c>
      <c r="I11" s="1">
        <f>SUMIF(Jogos!$AB:$AB,Dummy!$B11,Jogos!AH:AH)</f>
        <v>2</v>
      </c>
      <c r="J11" s="1">
        <f>SUMIF(Jogos!$AL:$AL,Dummy!$B11,Jogos!AP:AP)</f>
        <v>1</v>
      </c>
      <c r="K11" s="1">
        <f>SUMIF(Jogos!$AL:$AL,Dummy!$B11,Jogos!AQ:AQ)</f>
        <v>1</v>
      </c>
      <c r="L11" s="1">
        <f>SUMIF(Jogos!$AL:$AL,Dummy!$B11,Jogos!AR:AR)</f>
        <v>2</v>
      </c>
      <c r="M11" s="1">
        <f>SUMIF(Jogos!AB:AB,B11,Jogos!AD:AD)+SUMIF(Jogos!AL:AL,B11,Jogos!AN:AN)</f>
        <v>15</v>
      </c>
      <c r="N11" s="1">
        <f>SUMIF(Jogos!AB:AB,B11,Jogos!AE:AE)+SUMIF(Jogos!AL:AL,B11,Jogos!AO:AO)</f>
        <v>16</v>
      </c>
      <c r="O11" s="15">
        <f t="shared" si="4"/>
        <v>937.5</v>
      </c>
      <c r="P11" s="1">
        <f>SUMIF(Jogos!AB:AB,B11,Jogos!AI:AI)+SUMIF(Jogos!AL:AL,B11,Jogos!AS:AS)</f>
        <v>669</v>
      </c>
      <c r="Q11" s="1">
        <f>SUMIF(Jogos!AB:AB,B11,Jogos!AJ:AJ)+SUMIF(Jogos!AL:AL,B11,Jogos!AT:AT)</f>
        <v>697</v>
      </c>
      <c r="R11" s="15">
        <f t="shared" si="0"/>
        <v>959.82783357245341</v>
      </c>
      <c r="S11" s="1">
        <f t="shared" si="5"/>
        <v>1</v>
      </c>
      <c r="T11" s="1">
        <f t="shared" si="6"/>
        <v>0</v>
      </c>
      <c r="U11" s="1">
        <f t="shared" si="7"/>
        <v>0</v>
      </c>
      <c r="V11" s="1">
        <f t="shared" si="8"/>
        <v>0</v>
      </c>
      <c r="W11" s="1">
        <v>8</v>
      </c>
    </row>
    <row r="12" spans="1:27" x14ac:dyDescent="0.25">
      <c r="A12" s="1">
        <f t="shared" si="1"/>
        <v>10</v>
      </c>
      <c r="B12" s="1" t="s">
        <v>41</v>
      </c>
      <c r="C12" s="1">
        <f t="shared" si="2"/>
        <v>10</v>
      </c>
      <c r="D12" s="1">
        <f t="shared" si="3"/>
        <v>8</v>
      </c>
      <c r="E12" s="1">
        <f>COUNTIF(Jogos!AB:AB,Dummy!B12)</f>
        <v>3</v>
      </c>
      <c r="F12" s="1">
        <f>COUNTIF(Jogos!AL:AL,Dummy!B12)</f>
        <v>5</v>
      </c>
      <c r="G12" s="1">
        <f>SUMIF(Jogos!$AB:$AB,Dummy!$B12,Jogos!AF:AF)</f>
        <v>1</v>
      </c>
      <c r="H12" s="1">
        <f>SUMIF(Jogos!$AB:$AB,Dummy!$B12,Jogos!AG:AG)</f>
        <v>1</v>
      </c>
      <c r="I12" s="1">
        <f>SUMIF(Jogos!$AB:$AB,Dummy!$B12,Jogos!AH:AH)</f>
        <v>1</v>
      </c>
      <c r="J12" s="1">
        <f>SUMIF(Jogos!$AL:$AL,Dummy!$B12,Jogos!AP:AP)</f>
        <v>2</v>
      </c>
      <c r="K12" s="1">
        <f>SUMIF(Jogos!$AL:$AL,Dummy!$B12,Jogos!AQ:AQ)</f>
        <v>2</v>
      </c>
      <c r="L12" s="1">
        <f>SUMIF(Jogos!$AL:$AL,Dummy!$B12,Jogos!AR:AR)</f>
        <v>1</v>
      </c>
      <c r="M12" s="1">
        <f>SUMIF(Jogos!AB:AB,B12,Jogos!AD:AD)+SUMIF(Jogos!AL:AL,B12,Jogos!AN:AN)</f>
        <v>15</v>
      </c>
      <c r="N12" s="1">
        <f>SUMIF(Jogos!AB:AB,B12,Jogos!AE:AE)+SUMIF(Jogos!AL:AL,B12,Jogos!AO:AO)</f>
        <v>18</v>
      </c>
      <c r="O12" s="15">
        <f t="shared" si="4"/>
        <v>833.33333333333337</v>
      </c>
      <c r="P12" s="1">
        <f>SUMIF(Jogos!AB:AB,B12,Jogos!AI:AI)+SUMIF(Jogos!AL:AL,B12,Jogos!AS:AS)</f>
        <v>678</v>
      </c>
      <c r="Q12" s="1">
        <f>SUMIF(Jogos!AB:AB,B12,Jogos!AJ:AJ)+SUMIF(Jogos!AL:AL,B12,Jogos!AT:AT)</f>
        <v>719</v>
      </c>
      <c r="R12" s="15">
        <f t="shared" si="0"/>
        <v>942.97635605006963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</row>
    <row r="13" spans="1:27" x14ac:dyDescent="0.25">
      <c r="A13" s="1">
        <f t="shared" si="1"/>
        <v>1</v>
      </c>
      <c r="B13" s="1" t="s">
        <v>39</v>
      </c>
      <c r="C13" s="1">
        <f t="shared" si="2"/>
        <v>22</v>
      </c>
      <c r="D13" s="1">
        <f t="shared" si="3"/>
        <v>8</v>
      </c>
      <c r="E13" s="1">
        <f>COUNTIF(Jogos!AB:AB,Dummy!B13)</f>
        <v>8</v>
      </c>
      <c r="F13" s="1">
        <f>COUNTIF(Jogos!AL:AL,Dummy!B13)</f>
        <v>0</v>
      </c>
      <c r="G13" s="1">
        <f>SUMIF(Jogos!$AB:$AB,Dummy!$B13,Jogos!AF:AF)</f>
        <v>5</v>
      </c>
      <c r="H13" s="1">
        <f>SUMIF(Jogos!$AB:$AB,Dummy!$B13,Jogos!AG:AG)</f>
        <v>1</v>
      </c>
      <c r="I13" s="1">
        <f>SUMIF(Jogos!$AB:$AB,Dummy!$B13,Jogos!AH:AH)</f>
        <v>2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24</v>
      </c>
      <c r="N13" s="1">
        <f>SUMIF(Jogos!AB:AB,B13,Jogos!AE:AE)+SUMIF(Jogos!AL:AL,B13,Jogos!AO:AO)</f>
        <v>5</v>
      </c>
      <c r="O13" s="15">
        <f t="shared" si="4"/>
        <v>4800</v>
      </c>
      <c r="P13" s="1">
        <f>SUMIF(Jogos!AB:AB,B13,Jogos!AI:AI)+SUMIF(Jogos!AL:AL,B13,Jogos!AS:AS)</f>
        <v>701</v>
      </c>
      <c r="Q13" s="1">
        <f>SUMIF(Jogos!AB:AB,B13,Jogos!AJ:AJ)+SUMIF(Jogos!AL:AL,B13,Jogos!AT:AT)</f>
        <v>542</v>
      </c>
      <c r="R13" s="15">
        <f t="shared" si="0"/>
        <v>1293.3579335793356</v>
      </c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v>10</v>
      </c>
    </row>
    <row r="14" spans="1:27" x14ac:dyDescent="0.25">
      <c r="A14" s="1">
        <f t="shared" si="1"/>
        <v>5</v>
      </c>
      <c r="B14" s="1" t="s">
        <v>29</v>
      </c>
      <c r="C14" s="1">
        <f t="shared" si="2"/>
        <v>18</v>
      </c>
      <c r="D14" s="1">
        <f t="shared" si="3"/>
        <v>8</v>
      </c>
      <c r="E14" s="1">
        <f>COUNTIF(Jogos!AB:AB,Dummy!B14)</f>
        <v>6</v>
      </c>
      <c r="F14" s="1">
        <f>COUNTIF(Jogos!AL:AL,Dummy!B14)</f>
        <v>2</v>
      </c>
      <c r="G14" s="1">
        <f>SUMIF(Jogos!$AB:$AB,Dummy!$B14,Jogos!AF:AF)</f>
        <v>5</v>
      </c>
      <c r="H14" s="1">
        <f>SUMIF(Jogos!$AB:$AB,Dummy!$B14,Jogos!AG:AG)</f>
        <v>0</v>
      </c>
      <c r="I14" s="1">
        <f>SUMIF(Jogos!$AB:$AB,Dummy!$B14,Jogos!AH:AH)</f>
        <v>1</v>
      </c>
      <c r="J14" s="1">
        <f>SUMIF(Jogos!$AL:$AL,Dummy!$B14,Jogos!AP:AP)</f>
        <v>1</v>
      </c>
      <c r="K14" s="1">
        <f>SUMIF(Jogos!$AL:$AL,Dummy!$B14,Jogos!AQ:AQ)</f>
        <v>1</v>
      </c>
      <c r="L14" s="1">
        <f>SUMIF(Jogos!$AL:$AL,Dummy!$B14,Jogos!AR:AR)</f>
        <v>0</v>
      </c>
      <c r="M14" s="1">
        <f>SUMIF(Jogos!AB:AB,B14,Jogos!AD:AD)+SUMIF(Jogos!AL:AL,B14,Jogos!AN:AN)</f>
        <v>21</v>
      </c>
      <c r="N14" s="1">
        <f>SUMIF(Jogos!AB:AB,B14,Jogos!AE:AE)+SUMIF(Jogos!AL:AL,B14,Jogos!AO:AO)</f>
        <v>8</v>
      </c>
      <c r="O14" s="15">
        <f t="shared" si="4"/>
        <v>2625</v>
      </c>
      <c r="P14" s="1">
        <f>SUMIF(Jogos!AB:AB,B14,Jogos!AI:AI)+SUMIF(Jogos!AL:AL,B14,Jogos!AS:AS)</f>
        <v>661</v>
      </c>
      <c r="Q14" s="1">
        <f>SUMIF(Jogos!AB:AB,B14,Jogos!AJ:AJ)+SUMIF(Jogos!AL:AL,B14,Jogos!AT:AT)</f>
        <v>566</v>
      </c>
      <c r="R14" s="15">
        <f t="shared" si="0"/>
        <v>1167.8445229681979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</row>
    <row r="15" spans="1:27" x14ac:dyDescent="0.25">
      <c r="A15" s="1">
        <f t="shared" si="1"/>
        <v>11</v>
      </c>
      <c r="B15" s="1" t="s">
        <v>37</v>
      </c>
      <c r="C15" s="1">
        <f t="shared" si="2"/>
        <v>10</v>
      </c>
      <c r="D15" s="1">
        <f t="shared" si="3"/>
        <v>8</v>
      </c>
      <c r="E15" s="1">
        <f>COUNTIF(Jogos!AB:AB,Dummy!B15)</f>
        <v>3</v>
      </c>
      <c r="F15" s="1">
        <f>COUNTIF(Jogos!AL:AL,Dummy!B15)</f>
        <v>5</v>
      </c>
      <c r="G15" s="1">
        <f>SUMIF(Jogos!$AB:$AB,Dummy!$B15,Jogos!AF:AF)</f>
        <v>1</v>
      </c>
      <c r="H15" s="1">
        <f>SUMIF(Jogos!$AB:$AB,Dummy!$B15,Jogos!AG:AG)</f>
        <v>1</v>
      </c>
      <c r="I15" s="1">
        <f>SUMIF(Jogos!$AB:$AB,Dummy!$B15,Jogos!AH:AH)</f>
        <v>1</v>
      </c>
      <c r="J15" s="1">
        <f>SUMIF(Jogos!$AL:$AL,Dummy!$B15,Jogos!AP:AP)</f>
        <v>2</v>
      </c>
      <c r="K15" s="1">
        <f>SUMIF(Jogos!$AL:$AL,Dummy!$B15,Jogos!AQ:AQ)</f>
        <v>0</v>
      </c>
      <c r="L15" s="1">
        <f>SUMIF(Jogos!$AL:$AL,Dummy!$B15,Jogos!AR:AR)</f>
        <v>3</v>
      </c>
      <c r="M15" s="1">
        <f>SUMIF(Jogos!AB:AB,B15,Jogos!AD:AD)+SUMIF(Jogos!AL:AL,B15,Jogos!AN:AN)</f>
        <v>13</v>
      </c>
      <c r="N15" s="1">
        <f>SUMIF(Jogos!AB:AB,B15,Jogos!AE:AE)+SUMIF(Jogos!AL:AL,B15,Jogos!AO:AO)</f>
        <v>18</v>
      </c>
      <c r="O15" s="15">
        <f t="shared" si="4"/>
        <v>722.22222222222217</v>
      </c>
      <c r="P15" s="1">
        <f>SUMIF(Jogos!AB:AB,B15,Jogos!AI:AI)+SUMIF(Jogos!AL:AL,B15,Jogos!AS:AS)</f>
        <v>650</v>
      </c>
      <c r="Q15" s="1">
        <f>SUMIF(Jogos!AB:AB,B15,Jogos!AJ:AJ)+SUMIF(Jogos!AL:AL,B15,Jogos!AT:AT)</f>
        <v>681</v>
      </c>
      <c r="R15" s="15">
        <f t="shared" si="0"/>
        <v>954.47870778267247</v>
      </c>
      <c r="S15" s="1">
        <f t="shared" si="5"/>
        <v>0</v>
      </c>
      <c r="T15" s="1">
        <f t="shared" si="6"/>
        <v>1</v>
      </c>
      <c r="U15" s="1">
        <f t="shared" si="7"/>
        <v>0</v>
      </c>
      <c r="V15" s="1">
        <f t="shared" si="8"/>
        <v>0</v>
      </c>
      <c r="W15" s="1">
        <v>12</v>
      </c>
    </row>
    <row r="16" spans="1:27" x14ac:dyDescent="0.25">
      <c r="A16" s="1">
        <f t="shared" si="1"/>
        <v>2</v>
      </c>
      <c r="B16" s="1" t="s">
        <v>40</v>
      </c>
      <c r="C16" s="1">
        <f t="shared" si="2"/>
        <v>21</v>
      </c>
      <c r="D16" s="1">
        <f t="shared" si="3"/>
        <v>8</v>
      </c>
      <c r="E16" s="1">
        <f>COUNTIF(Jogos!AB:AB,Dummy!B16)</f>
        <v>7</v>
      </c>
      <c r="F16" s="1">
        <f>COUNTIF(Jogos!AL:AL,Dummy!B16)</f>
        <v>1</v>
      </c>
      <c r="G16" s="1">
        <f>SUMIF(Jogos!$AB:$AB,Dummy!$B16,Jogos!AF:AF)</f>
        <v>3</v>
      </c>
      <c r="H16" s="1">
        <f>SUMIF(Jogos!$AB:$AB,Dummy!$B16,Jogos!AG:AG)</f>
        <v>3</v>
      </c>
      <c r="I16" s="1">
        <f>SUMIF(Jogos!$AB:$AB,Dummy!$B16,Jogos!AH:AH)</f>
        <v>1</v>
      </c>
      <c r="J16" s="1">
        <f>SUMIF(Jogos!$AL:$AL,Dummy!$B16,Jogos!AP:AP)</f>
        <v>1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23</v>
      </c>
      <c r="N16" s="1">
        <f>SUMIF(Jogos!AB:AB,B16,Jogos!AE:AE)+SUMIF(Jogos!AL:AL,B16,Jogos!AO:AO)</f>
        <v>8</v>
      </c>
      <c r="O16" s="15">
        <f t="shared" si="4"/>
        <v>2875</v>
      </c>
      <c r="P16" s="1">
        <f>SUMIF(Jogos!AB:AB,B16,Jogos!AI:AI)+SUMIF(Jogos!AL:AL,B16,Jogos!AS:AS)</f>
        <v>715</v>
      </c>
      <c r="Q16" s="1">
        <f>SUMIF(Jogos!AB:AB,B16,Jogos!AJ:AJ)+SUMIF(Jogos!AL:AL,B16,Jogos!AT:AT)</f>
        <v>631</v>
      </c>
      <c r="R16" s="15">
        <f t="shared" si="0"/>
        <v>1133.1220285261491</v>
      </c>
      <c r="S16" s="1">
        <f t="shared" si="5"/>
        <v>0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v>13</v>
      </c>
    </row>
    <row r="17" spans="1:23" x14ac:dyDescent="0.25">
      <c r="A17" s="1">
        <f t="shared" si="1"/>
        <v>9</v>
      </c>
      <c r="B17" s="1" t="s">
        <v>56</v>
      </c>
      <c r="C17" s="1">
        <f t="shared" si="2"/>
        <v>9</v>
      </c>
      <c r="D17" s="1">
        <f t="shared" si="3"/>
        <v>8</v>
      </c>
      <c r="E17" s="1">
        <f>COUNTIF(Jogos!AB:AB,Dummy!B17)</f>
        <v>4</v>
      </c>
      <c r="F17" s="1">
        <f>COUNTIF(Jogos!AL:AL,Dummy!B17)</f>
        <v>4</v>
      </c>
      <c r="G17" s="1">
        <f>SUMIF(Jogos!$AB:$AB,Dummy!$B17,Jogos!AF:AF)</f>
        <v>1</v>
      </c>
      <c r="H17" s="1">
        <f>SUMIF(Jogos!$AB:$AB,Dummy!$B17,Jogos!AG:AG)</f>
        <v>0</v>
      </c>
      <c r="I17" s="1">
        <f>SUMIF(Jogos!$AB:$AB,Dummy!$B17,Jogos!AH:AH)</f>
        <v>3</v>
      </c>
      <c r="J17" s="1">
        <f>SUMIF(Jogos!$AL:$AL,Dummy!$B17,Jogos!AP:AP)</f>
        <v>0</v>
      </c>
      <c r="K17" s="1">
        <f>SUMIF(Jogos!$AL:$AL,Dummy!$B17,Jogos!AQ:AQ)</f>
        <v>1</v>
      </c>
      <c r="L17" s="1">
        <f>SUMIF(Jogos!$AL:$AL,Dummy!$B17,Jogos!AR:AR)</f>
        <v>3</v>
      </c>
      <c r="M17" s="1">
        <f>SUMIF(Jogos!AB:AB,B17,Jogos!AD:AD)+SUMIF(Jogos!AL:AL,B17,Jogos!AN:AN)</f>
        <v>13</v>
      </c>
      <c r="N17" s="1">
        <f>SUMIF(Jogos!AB:AB,B17,Jogos!AE:AE)+SUMIF(Jogos!AL:AL,B17,Jogos!AO:AO)</f>
        <v>18</v>
      </c>
      <c r="O17" s="15">
        <f t="shared" si="4"/>
        <v>722.22222222222217</v>
      </c>
      <c r="P17" s="1">
        <f>SUMIF(Jogos!AB:AB,B17,Jogos!AI:AI)+SUMIF(Jogos!AL:AL,B17,Jogos!AS:AS)</f>
        <v>698</v>
      </c>
      <c r="Q17" s="1">
        <f>SUMIF(Jogos!AB:AB,B17,Jogos!AJ:AJ)+SUMIF(Jogos!AL:AL,B17,Jogos!AT:AT)</f>
        <v>726</v>
      </c>
      <c r="R17" s="15">
        <f t="shared" si="0"/>
        <v>961.43250688705234</v>
      </c>
      <c r="S17" s="1">
        <f t="shared" si="5"/>
        <v>2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v>14</v>
      </c>
    </row>
    <row r="18" spans="1:23" x14ac:dyDescent="0.25">
      <c r="A18" s="1">
        <f t="shared" si="1"/>
        <v>18</v>
      </c>
      <c r="B18" s="1" t="s">
        <v>57</v>
      </c>
      <c r="C18" s="1">
        <f t="shared" si="2"/>
        <v>5</v>
      </c>
      <c r="D18" s="1">
        <f t="shared" si="3"/>
        <v>8</v>
      </c>
      <c r="E18" s="1">
        <f>COUNTIF(Jogos!AB:AB,Dummy!B18)</f>
        <v>0</v>
      </c>
      <c r="F18" s="1">
        <f>COUNTIF(Jogos!AL:AL,Dummy!B18)</f>
        <v>8</v>
      </c>
      <c r="G18" s="1">
        <f>SUMIF(Jogos!$AB:$AB,Dummy!$B18,Jogos!AF:AF)</f>
        <v>0</v>
      </c>
      <c r="H18" s="1">
        <f>SUMIF(Jogos!$AB:$AB,Dummy!$B18,Jogos!AG:AG)</f>
        <v>0</v>
      </c>
      <c r="I18" s="1">
        <f>SUMIF(Jogos!$AB:$AB,Dummy!$B18,Jogos!AH:AH)</f>
        <v>0</v>
      </c>
      <c r="J18" s="1">
        <f>SUMIF(Jogos!$AL:$AL,Dummy!$B18,Jogos!AP:AP)</f>
        <v>5</v>
      </c>
      <c r="K18" s="1">
        <f>SUMIF(Jogos!$AL:$AL,Dummy!$B18,Jogos!AQ:AQ)</f>
        <v>2</v>
      </c>
      <c r="L18" s="1">
        <f>SUMIF(Jogos!$AL:$AL,Dummy!$B18,Jogos!AR:AR)</f>
        <v>1</v>
      </c>
      <c r="M18" s="1">
        <f>SUMIF(Jogos!AB:AB,B18,Jogos!AD:AD)+SUMIF(Jogos!AL:AL,B18,Jogos!AN:AN)</f>
        <v>12</v>
      </c>
      <c r="N18" s="1">
        <f>SUMIF(Jogos!AB:AB,B18,Jogos!AE:AE)+SUMIF(Jogos!AL:AL,B18,Jogos!AO:AO)</f>
        <v>24</v>
      </c>
      <c r="O18" s="15">
        <f t="shared" si="4"/>
        <v>500</v>
      </c>
      <c r="P18" s="1">
        <f>SUMIF(Jogos!AB:AB,B18,Jogos!AI:AI)+SUMIF(Jogos!AL:AL,B18,Jogos!AS:AS)</f>
        <v>731</v>
      </c>
      <c r="Q18" s="1">
        <f>SUMIF(Jogos!AB:AB,B18,Jogos!AJ:AJ)+SUMIF(Jogos!AL:AL,B18,Jogos!AT:AT)</f>
        <v>786</v>
      </c>
      <c r="R18" s="15">
        <f t="shared" si="0"/>
        <v>930.02544529262093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v>15</v>
      </c>
    </row>
    <row r="19" spans="1:23" x14ac:dyDescent="0.25">
      <c r="A19" s="1">
        <f t="shared" si="1"/>
        <v>16</v>
      </c>
      <c r="B19" s="1" t="s">
        <v>58</v>
      </c>
      <c r="C19" s="1">
        <f t="shared" si="2"/>
        <v>5</v>
      </c>
      <c r="D19" s="1">
        <f t="shared" si="3"/>
        <v>8</v>
      </c>
      <c r="E19" s="1">
        <f>COUNTIF(Jogos!AB:AB,Dummy!B19)</f>
        <v>1</v>
      </c>
      <c r="F19" s="1">
        <f>COUNTIF(Jogos!AL:AL,Dummy!B19)</f>
        <v>7</v>
      </c>
      <c r="G19" s="1">
        <f>SUMIF(Jogos!$AB:$AB,Dummy!$B19,Jogos!AF:AF)</f>
        <v>0</v>
      </c>
      <c r="H19" s="1">
        <f>SUMIF(Jogos!$AB:$AB,Dummy!$B19,Jogos!AG:AG)</f>
        <v>1</v>
      </c>
      <c r="I19" s="1">
        <f>SUMIF(Jogos!$AB:$AB,Dummy!$B19,Jogos!AH:AH)</f>
        <v>0</v>
      </c>
      <c r="J19" s="1">
        <f>SUMIF(Jogos!$AL:$AL,Dummy!$B19,Jogos!AP:AP)</f>
        <v>2</v>
      </c>
      <c r="K19" s="1">
        <f>SUMIF(Jogos!$AL:$AL,Dummy!$B19,Jogos!AQ:AQ)</f>
        <v>1</v>
      </c>
      <c r="L19" s="1">
        <f>SUMIF(Jogos!$AL:$AL,Dummy!$B19,Jogos!AR:AR)</f>
        <v>4</v>
      </c>
      <c r="M19" s="1">
        <f>SUMIF(Jogos!AB:AB,B19,Jogos!AD:AD)+SUMIF(Jogos!AL:AL,B19,Jogos!AN:AN)</f>
        <v>8</v>
      </c>
      <c r="N19" s="1">
        <f>SUMIF(Jogos!AB:AB,B19,Jogos!AE:AE)+SUMIF(Jogos!AL:AL,B19,Jogos!AO:AO)</f>
        <v>22</v>
      </c>
      <c r="O19" s="15">
        <f t="shared" si="4"/>
        <v>363.63636363636363</v>
      </c>
      <c r="P19" s="1">
        <f>SUMIF(Jogos!AB:AB,B19,Jogos!AI:AI)+SUMIF(Jogos!AL:AL,B19,Jogos!AS:AS)</f>
        <v>627</v>
      </c>
      <c r="Q19" s="1">
        <f>SUMIF(Jogos!AB:AB,B19,Jogos!AJ:AJ)+SUMIF(Jogos!AL:AL,B19,Jogos!AT:AT)</f>
        <v>697</v>
      </c>
      <c r="R19" s="15">
        <f t="shared" si="0"/>
        <v>899.56958393113337</v>
      </c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v>16</v>
      </c>
    </row>
    <row r="20" spans="1:23" x14ac:dyDescent="0.25">
      <c r="A20" s="1">
        <f t="shared" si="1"/>
        <v>4</v>
      </c>
      <c r="B20" s="1" t="s">
        <v>30</v>
      </c>
      <c r="C20" s="1">
        <f t="shared" si="2"/>
        <v>19</v>
      </c>
      <c r="D20" s="1">
        <f t="shared" si="3"/>
        <v>8</v>
      </c>
      <c r="E20" s="1">
        <f>COUNTIF(Jogos!AB:AB,Dummy!B20)</f>
        <v>7</v>
      </c>
      <c r="F20" s="1">
        <f>COUNTIF(Jogos!AL:AL,Dummy!B20)</f>
        <v>1</v>
      </c>
      <c r="G20" s="1">
        <f>SUMIF(Jogos!$AB:$AB,Dummy!$B20,Jogos!AF:AF)</f>
        <v>4</v>
      </c>
      <c r="H20" s="1">
        <f>SUMIF(Jogos!$AB:$AB,Dummy!$B20,Jogos!AG:AG)</f>
        <v>1</v>
      </c>
      <c r="I20" s="1">
        <f>SUMIF(Jogos!$AB:$AB,Dummy!$B20,Jogos!AH:AH)</f>
        <v>2</v>
      </c>
      <c r="J20" s="1">
        <f>SUMIF(Jogos!$AL:$AL,Dummy!$B20,Jogos!AP:AP)</f>
        <v>0</v>
      </c>
      <c r="K20" s="1">
        <f>SUMIF(Jogos!$AL:$AL,Dummy!$B20,Jogos!AQ:AQ)</f>
        <v>1</v>
      </c>
      <c r="L20" s="1">
        <f>SUMIF(Jogos!$AL:$AL,Dummy!$B20,Jogos!AR:AR)</f>
        <v>0</v>
      </c>
      <c r="M20" s="1">
        <f>SUMIF(Jogos!AB:AB,B20,Jogos!AD:AD)+SUMIF(Jogos!AL:AL,B20,Jogos!AN:AN)</f>
        <v>22</v>
      </c>
      <c r="N20" s="1">
        <f>SUMIF(Jogos!AB:AB,B20,Jogos!AE:AE)+SUMIF(Jogos!AL:AL,B20,Jogos!AO:AO)</f>
        <v>8</v>
      </c>
      <c r="O20" s="15">
        <f t="shared" si="4"/>
        <v>2750</v>
      </c>
      <c r="P20" s="1">
        <f>SUMIF(Jogos!AB:AB,B20,Jogos!AI:AI)+SUMIF(Jogos!AL:AL,B20,Jogos!AS:AS)</f>
        <v>706</v>
      </c>
      <c r="Q20" s="1">
        <f>SUMIF(Jogos!AB:AB,B20,Jogos!AJ:AJ)+SUMIF(Jogos!AL:AL,B20,Jogos!AT:AT)</f>
        <v>610</v>
      </c>
      <c r="R20" s="15">
        <f t="shared" si="0"/>
        <v>1157.377049180328</v>
      </c>
      <c r="S20" s="1">
        <f t="shared" si="5"/>
        <v>2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v>17</v>
      </c>
    </row>
    <row r="23" spans="1:23" ht="18.75" x14ac:dyDescent="0.25">
      <c r="A23" s="35" t="s">
        <v>84</v>
      </c>
    </row>
    <row r="25" spans="1:23" x14ac:dyDescent="0.25">
      <c r="D25" s="58" t="s">
        <v>14</v>
      </c>
      <c r="E25" s="58"/>
      <c r="F25" s="58"/>
      <c r="G25" s="58" t="s">
        <v>60</v>
      </c>
      <c r="H25" s="58"/>
      <c r="I25" s="58"/>
      <c r="J25" s="58"/>
      <c r="K25" s="58"/>
      <c r="L25" s="58"/>
      <c r="M25" s="58" t="s">
        <v>61</v>
      </c>
      <c r="N25" s="58"/>
      <c r="O25" s="58"/>
      <c r="P25" s="58" t="s">
        <v>62</v>
      </c>
      <c r="Q25" s="58"/>
      <c r="R25" s="58"/>
      <c r="S25" s="58" t="s">
        <v>63</v>
      </c>
      <c r="T25" s="58"/>
      <c r="U25" s="58"/>
      <c r="V25" s="58"/>
      <c r="W25" s="58"/>
    </row>
    <row r="26" spans="1:23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62</v>
      </c>
      <c r="T26" s="2" t="s">
        <v>64</v>
      </c>
      <c r="U26" s="2" t="s">
        <v>65</v>
      </c>
      <c r="V26" s="2" t="s">
        <v>67</v>
      </c>
      <c r="W26" s="2" t="s">
        <v>66</v>
      </c>
    </row>
    <row r="27" spans="1:23" x14ac:dyDescent="0.25">
      <c r="A27" s="1">
        <f>RANK(E27,$E$27:$E$34)+SUM(S27:V27)</f>
        <v>2</v>
      </c>
      <c r="B27" s="1" t="str">
        <f>Z1</f>
        <v>Polônia</v>
      </c>
      <c r="C27" s="1">
        <f>VLOOKUP($B27,$B$3:$R$20,2,FALSE)</f>
        <v>21</v>
      </c>
      <c r="D27" s="1">
        <f>VLOOKUP($B27,$B$3:$R$20,3,FALSE)</f>
        <v>8</v>
      </c>
      <c r="E27" s="1">
        <f>VLOOKUP($B27,$B$3:$R$20,4,FALSE)</f>
        <v>7</v>
      </c>
      <c r="F27" s="1">
        <f>VLOOKUP($B27,$B$3:$R$20,5,FALSE)</f>
        <v>1</v>
      </c>
      <c r="G27" s="1">
        <f>VLOOKUP($B27,$B$3:$R$20,6,FALSE)</f>
        <v>3</v>
      </c>
      <c r="H27" s="1">
        <f>VLOOKUP($B27,$B$3:$R$20,7,FALSE)</f>
        <v>3</v>
      </c>
      <c r="I27" s="1">
        <f>VLOOKUP($B27,$B$3:$R$20,8,FALSE)</f>
        <v>1</v>
      </c>
      <c r="J27" s="1">
        <f>VLOOKUP($B27,$B$3:$R$20,9,FALSE)</f>
        <v>1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23</v>
      </c>
      <c r="N27" s="1">
        <f>VLOOKUP($B27,$B$3:$R$20,13,FALSE)</f>
        <v>8</v>
      </c>
      <c r="O27" s="36">
        <f>VLOOKUP($B27,$B$3:$R$20,14,FALSE)</f>
        <v>2875</v>
      </c>
      <c r="P27" s="1">
        <f>VLOOKUP($B27,$B$3:$R$20,15,FALSE)</f>
        <v>715</v>
      </c>
      <c r="Q27" s="1">
        <f>VLOOKUP($B27,$B$3:$R$20,16,FALSE)</f>
        <v>631</v>
      </c>
      <c r="R27" s="36">
        <f>VLOOKUP($B27,$B$3:$R$20,17,FALSE)</f>
        <v>1133.1220285261491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1</v>
      </c>
      <c r="B28" s="1" t="str">
        <f>VLOOKUP(Z3,$A$3:$R$20,2,FALSE)</f>
        <v>Itália</v>
      </c>
      <c r="C28" s="1">
        <f t="shared" ref="C28:C34" si="11">VLOOKUP($B28,$B$3:$R$20,2,FALSE)</f>
        <v>22</v>
      </c>
      <c r="D28" s="1">
        <f t="shared" ref="D28:D34" si="12">VLOOKUP($B28,$B$3:$R$20,3,FALSE)</f>
        <v>8</v>
      </c>
      <c r="E28" s="1">
        <f t="shared" ref="E28:E34" si="13">VLOOKUP($B28,$B$3:$R$20,4,FALSE)</f>
        <v>8</v>
      </c>
      <c r="F28" s="1">
        <f t="shared" ref="F28:F34" si="14">VLOOKUP($B28,$B$3:$R$20,5,FALSE)</f>
        <v>0</v>
      </c>
      <c r="G28" s="1">
        <f t="shared" ref="G28:G34" si="15">VLOOKUP($B28,$B$3:$R$20,6,FALSE)</f>
        <v>5</v>
      </c>
      <c r="H28" s="1">
        <f t="shared" ref="H28:H34" si="16">VLOOKUP($B28,$B$3:$R$20,7,FALSE)</f>
        <v>1</v>
      </c>
      <c r="I28" s="1">
        <f t="shared" ref="I28:I34" si="17">VLOOKUP($B28,$B$3:$R$20,8,FALSE)</f>
        <v>2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24</v>
      </c>
      <c r="N28" s="1">
        <f t="shared" ref="N28:N34" si="22">VLOOKUP($B28,$B$3:$R$20,13,FALSE)</f>
        <v>5</v>
      </c>
      <c r="O28" s="36">
        <f t="shared" ref="O28:O34" si="23">VLOOKUP($B28,$B$3:$R$20,14,FALSE)</f>
        <v>4800</v>
      </c>
      <c r="P28" s="1">
        <f t="shared" ref="P28:P34" si="24">VLOOKUP($B28,$B$3:$R$20,15,FALSE)</f>
        <v>701</v>
      </c>
      <c r="Q28" s="1">
        <f t="shared" ref="Q28:Q34" si="25">VLOOKUP($B28,$B$3:$R$20,16,FALSE)</f>
        <v>542</v>
      </c>
      <c r="R28" s="36">
        <f t="shared" ref="R28:R34" si="26">VLOOKUP($B28,$B$3:$R$20,17,FALSE)</f>
        <v>1293.3579335793356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3" x14ac:dyDescent="0.25">
      <c r="A29" s="1">
        <f t="shared" si="10"/>
        <v>3</v>
      </c>
      <c r="B29" s="1" t="str">
        <f t="shared" ref="B29:B34" si="31">VLOOKUP(Z4,$A$3:$R$20,2,FALSE)</f>
        <v>Brasil</v>
      </c>
      <c r="C29" s="1">
        <f t="shared" si="11"/>
        <v>20</v>
      </c>
      <c r="D29" s="1">
        <f t="shared" si="12"/>
        <v>8</v>
      </c>
      <c r="E29" s="1">
        <f t="shared" si="13"/>
        <v>7</v>
      </c>
      <c r="F29" s="1">
        <f t="shared" si="14"/>
        <v>1</v>
      </c>
      <c r="G29" s="1">
        <f t="shared" si="15"/>
        <v>4</v>
      </c>
      <c r="H29" s="1">
        <f t="shared" si="16"/>
        <v>2</v>
      </c>
      <c r="I29" s="1">
        <f t="shared" si="17"/>
        <v>1</v>
      </c>
      <c r="J29" s="1">
        <f t="shared" si="18"/>
        <v>0</v>
      </c>
      <c r="K29" s="1">
        <f t="shared" si="19"/>
        <v>0</v>
      </c>
      <c r="L29" s="1">
        <f t="shared" si="20"/>
        <v>1</v>
      </c>
      <c r="M29" s="1">
        <f t="shared" si="21"/>
        <v>21</v>
      </c>
      <c r="N29" s="1">
        <f t="shared" si="22"/>
        <v>7</v>
      </c>
      <c r="O29" s="36">
        <f t="shared" si="23"/>
        <v>3000</v>
      </c>
      <c r="P29" s="1">
        <f t="shared" si="24"/>
        <v>673</v>
      </c>
      <c r="Q29" s="1">
        <f t="shared" si="25"/>
        <v>579</v>
      </c>
      <c r="R29" s="36">
        <f t="shared" si="26"/>
        <v>1162.348877374784</v>
      </c>
      <c r="S29" s="1">
        <f t="shared" si="27"/>
        <v>1</v>
      </c>
      <c r="T29" s="1">
        <f t="shared" si="28"/>
        <v>0</v>
      </c>
      <c r="U29" s="1">
        <f t="shared" si="29"/>
        <v>0</v>
      </c>
      <c r="V29" s="1">
        <f t="shared" si="30"/>
        <v>0</v>
      </c>
      <c r="W29" s="1">
        <v>2</v>
      </c>
    </row>
    <row r="30" spans="1:23" x14ac:dyDescent="0.25">
      <c r="A30" s="1">
        <f t="shared" si="10"/>
        <v>4</v>
      </c>
      <c r="B30" s="1" t="str">
        <f t="shared" si="31"/>
        <v>Turquia</v>
      </c>
      <c r="C30" s="1">
        <f t="shared" si="11"/>
        <v>19</v>
      </c>
      <c r="D30" s="1">
        <f t="shared" si="12"/>
        <v>8</v>
      </c>
      <c r="E30" s="1">
        <f t="shared" si="13"/>
        <v>7</v>
      </c>
      <c r="F30" s="1">
        <f t="shared" si="14"/>
        <v>1</v>
      </c>
      <c r="G30" s="1">
        <f t="shared" si="15"/>
        <v>4</v>
      </c>
      <c r="H30" s="1">
        <f t="shared" si="16"/>
        <v>1</v>
      </c>
      <c r="I30" s="1">
        <f t="shared" si="17"/>
        <v>2</v>
      </c>
      <c r="J30" s="1">
        <f t="shared" si="18"/>
        <v>0</v>
      </c>
      <c r="K30" s="1">
        <f t="shared" si="19"/>
        <v>1</v>
      </c>
      <c r="L30" s="1">
        <f t="shared" si="20"/>
        <v>0</v>
      </c>
      <c r="M30" s="1">
        <f t="shared" si="21"/>
        <v>22</v>
      </c>
      <c r="N30" s="1">
        <f t="shared" si="22"/>
        <v>8</v>
      </c>
      <c r="O30" s="36">
        <f t="shared" si="23"/>
        <v>2750</v>
      </c>
      <c r="P30" s="1">
        <f t="shared" si="24"/>
        <v>706</v>
      </c>
      <c r="Q30" s="1">
        <f t="shared" si="25"/>
        <v>610</v>
      </c>
      <c r="R30" s="36">
        <f t="shared" si="26"/>
        <v>1157.377049180328</v>
      </c>
      <c r="S30" s="1">
        <f t="shared" si="27"/>
        <v>2</v>
      </c>
      <c r="T30" s="1">
        <f t="shared" si="28"/>
        <v>0</v>
      </c>
      <c r="U30" s="1">
        <f t="shared" si="29"/>
        <v>0</v>
      </c>
      <c r="V30" s="1">
        <f t="shared" si="30"/>
        <v>0</v>
      </c>
      <c r="W30" s="1">
        <v>3</v>
      </c>
    </row>
    <row r="31" spans="1:23" x14ac:dyDescent="0.25">
      <c r="A31" s="1">
        <f t="shared" si="10"/>
        <v>5</v>
      </c>
      <c r="B31" s="1" t="str">
        <f t="shared" si="31"/>
        <v>Japão</v>
      </c>
      <c r="C31" s="1">
        <f t="shared" si="11"/>
        <v>18</v>
      </c>
      <c r="D31" s="1">
        <f t="shared" si="12"/>
        <v>8</v>
      </c>
      <c r="E31" s="1">
        <f t="shared" si="13"/>
        <v>6</v>
      </c>
      <c r="F31" s="1">
        <f t="shared" si="14"/>
        <v>2</v>
      </c>
      <c r="G31" s="1">
        <f t="shared" si="15"/>
        <v>5</v>
      </c>
      <c r="H31" s="1">
        <f t="shared" si="16"/>
        <v>0</v>
      </c>
      <c r="I31" s="1">
        <f t="shared" si="17"/>
        <v>1</v>
      </c>
      <c r="J31" s="1">
        <f t="shared" si="18"/>
        <v>1</v>
      </c>
      <c r="K31" s="1">
        <f t="shared" si="19"/>
        <v>1</v>
      </c>
      <c r="L31" s="1">
        <f t="shared" si="20"/>
        <v>0</v>
      </c>
      <c r="M31" s="1">
        <f t="shared" si="21"/>
        <v>21</v>
      </c>
      <c r="N31" s="1">
        <f t="shared" si="22"/>
        <v>8</v>
      </c>
      <c r="O31" s="36">
        <f t="shared" si="23"/>
        <v>2625</v>
      </c>
      <c r="P31" s="1">
        <f t="shared" si="24"/>
        <v>661</v>
      </c>
      <c r="Q31" s="1">
        <f t="shared" si="25"/>
        <v>566</v>
      </c>
      <c r="R31" s="36">
        <f t="shared" si="26"/>
        <v>1167.8445229681979</v>
      </c>
      <c r="S31" s="1">
        <f t="shared" si="27"/>
        <v>0</v>
      </c>
      <c r="T31" s="1">
        <f t="shared" si="28"/>
        <v>0</v>
      </c>
      <c r="U31" s="1">
        <f t="shared" si="29"/>
        <v>0</v>
      </c>
      <c r="V31" s="1">
        <f t="shared" si="30"/>
        <v>0</v>
      </c>
      <c r="W31" s="1">
        <v>4</v>
      </c>
    </row>
    <row r="32" spans="1:23" x14ac:dyDescent="0.25">
      <c r="A32" s="1">
        <f t="shared" si="10"/>
        <v>6</v>
      </c>
      <c r="B32" s="1" t="str">
        <f t="shared" si="31"/>
        <v>China</v>
      </c>
      <c r="C32" s="1">
        <f t="shared" si="11"/>
        <v>15</v>
      </c>
      <c r="D32" s="1">
        <f t="shared" si="12"/>
        <v>8</v>
      </c>
      <c r="E32" s="1">
        <f t="shared" si="13"/>
        <v>5</v>
      </c>
      <c r="F32" s="1">
        <f t="shared" si="14"/>
        <v>3</v>
      </c>
      <c r="G32" s="1">
        <f t="shared" si="15"/>
        <v>2</v>
      </c>
      <c r="H32" s="1">
        <f t="shared" si="16"/>
        <v>2</v>
      </c>
      <c r="I32" s="1">
        <f t="shared" si="17"/>
        <v>1</v>
      </c>
      <c r="J32" s="1">
        <f t="shared" si="18"/>
        <v>1</v>
      </c>
      <c r="K32" s="1">
        <f t="shared" si="19"/>
        <v>1</v>
      </c>
      <c r="L32" s="1">
        <f t="shared" si="20"/>
        <v>1</v>
      </c>
      <c r="M32" s="1">
        <f t="shared" si="21"/>
        <v>18</v>
      </c>
      <c r="N32" s="1">
        <f t="shared" si="22"/>
        <v>13</v>
      </c>
      <c r="O32" s="36">
        <f t="shared" si="23"/>
        <v>1384.6153846153845</v>
      </c>
      <c r="P32" s="1">
        <f t="shared" si="24"/>
        <v>722</v>
      </c>
      <c r="Q32" s="1">
        <f t="shared" si="25"/>
        <v>659</v>
      </c>
      <c r="R32" s="36">
        <f t="shared" si="26"/>
        <v>1095.5993930197267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Alemanha</v>
      </c>
      <c r="C33" s="1">
        <f t="shared" si="11"/>
        <v>14</v>
      </c>
      <c r="D33" s="1">
        <f t="shared" si="12"/>
        <v>8</v>
      </c>
      <c r="E33" s="1">
        <f t="shared" si="13"/>
        <v>4</v>
      </c>
      <c r="F33" s="1">
        <f t="shared" si="14"/>
        <v>4</v>
      </c>
      <c r="G33" s="1">
        <f t="shared" si="15"/>
        <v>1</v>
      </c>
      <c r="H33" s="1">
        <f t="shared" si="16"/>
        <v>2</v>
      </c>
      <c r="I33" s="1">
        <f t="shared" si="17"/>
        <v>1</v>
      </c>
      <c r="J33" s="1">
        <f t="shared" si="18"/>
        <v>3</v>
      </c>
      <c r="K33" s="1">
        <f t="shared" si="19"/>
        <v>0</v>
      </c>
      <c r="L33" s="1">
        <f t="shared" si="20"/>
        <v>1</v>
      </c>
      <c r="M33" s="1">
        <f t="shared" si="21"/>
        <v>18</v>
      </c>
      <c r="N33" s="1">
        <f t="shared" si="22"/>
        <v>16</v>
      </c>
      <c r="O33" s="36">
        <f t="shared" si="23"/>
        <v>1125</v>
      </c>
      <c r="P33" s="1">
        <f t="shared" si="24"/>
        <v>721</v>
      </c>
      <c r="Q33" s="1">
        <f t="shared" si="25"/>
        <v>738</v>
      </c>
      <c r="R33" s="36">
        <f t="shared" si="26"/>
        <v>976.96476964769647</v>
      </c>
      <c r="S33" s="1">
        <f t="shared" si="27"/>
        <v>0</v>
      </c>
      <c r="T33" s="1">
        <f t="shared" si="28"/>
        <v>0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Estados Unidos</v>
      </c>
      <c r="C34" s="1">
        <f t="shared" si="11"/>
        <v>11</v>
      </c>
      <c r="D34" s="1">
        <f t="shared" si="12"/>
        <v>8</v>
      </c>
      <c r="E34" s="1">
        <f t="shared" si="13"/>
        <v>4</v>
      </c>
      <c r="F34" s="1">
        <f t="shared" si="14"/>
        <v>4</v>
      </c>
      <c r="G34" s="1">
        <f t="shared" si="15"/>
        <v>2</v>
      </c>
      <c r="H34" s="1">
        <f t="shared" si="16"/>
        <v>0</v>
      </c>
      <c r="I34" s="1">
        <f t="shared" si="17"/>
        <v>2</v>
      </c>
      <c r="J34" s="1">
        <f t="shared" si="18"/>
        <v>1</v>
      </c>
      <c r="K34" s="1">
        <f t="shared" si="19"/>
        <v>1</v>
      </c>
      <c r="L34" s="1">
        <f t="shared" si="20"/>
        <v>2</v>
      </c>
      <c r="M34" s="1">
        <f t="shared" si="21"/>
        <v>15</v>
      </c>
      <c r="N34" s="1">
        <f t="shared" si="22"/>
        <v>16</v>
      </c>
      <c r="O34" s="36">
        <f t="shared" si="23"/>
        <v>937.5</v>
      </c>
      <c r="P34" s="1">
        <f t="shared" si="24"/>
        <v>669</v>
      </c>
      <c r="Q34" s="1">
        <f t="shared" si="25"/>
        <v>697</v>
      </c>
      <c r="R34" s="36">
        <f t="shared" si="26"/>
        <v>959.82783357245341</v>
      </c>
      <c r="S34" s="1">
        <f t="shared" si="27"/>
        <v>1</v>
      </c>
      <c r="T34" s="1">
        <f t="shared" si="28"/>
        <v>0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Itália</v>
      </c>
      <c r="C37" s="1">
        <f>VLOOKUP($A37,$A$27:$D$34,4,FALSE)</f>
        <v>8</v>
      </c>
    </row>
    <row r="38" spans="1:23" x14ac:dyDescent="0.25">
      <c r="A38" s="1">
        <v>2</v>
      </c>
      <c r="B38" s="1" t="str">
        <f t="shared" ref="B38:B44" si="32">VLOOKUP($A38,$A$27:$D$34,2,FALSE)</f>
        <v>Polônia</v>
      </c>
      <c r="C38" s="1">
        <f t="shared" ref="C38:C44" si="33">VLOOKUP($A38,$A$27:$D$34,4,FALSE)</f>
        <v>8</v>
      </c>
    </row>
    <row r="39" spans="1:23" x14ac:dyDescent="0.25">
      <c r="A39" s="1">
        <v>3</v>
      </c>
      <c r="B39" s="1" t="str">
        <f t="shared" si="32"/>
        <v>Brasil</v>
      </c>
      <c r="C39" s="1">
        <f t="shared" si="33"/>
        <v>8</v>
      </c>
    </row>
    <row r="40" spans="1:23" x14ac:dyDescent="0.25">
      <c r="A40" s="1">
        <v>4</v>
      </c>
      <c r="B40" s="1" t="str">
        <f t="shared" si="32"/>
        <v>Turquia</v>
      </c>
      <c r="C40" s="1">
        <f t="shared" si="33"/>
        <v>8</v>
      </c>
    </row>
    <row r="41" spans="1:23" x14ac:dyDescent="0.25">
      <c r="A41" s="1">
        <v>5</v>
      </c>
      <c r="B41" s="1" t="str">
        <f t="shared" si="32"/>
        <v>Japão</v>
      </c>
      <c r="C41" s="1">
        <f t="shared" si="33"/>
        <v>8</v>
      </c>
    </row>
    <row r="42" spans="1:23" x14ac:dyDescent="0.25">
      <c r="A42" s="1">
        <v>6</v>
      </c>
      <c r="B42" s="1" t="str">
        <f t="shared" si="32"/>
        <v>China</v>
      </c>
      <c r="C42" s="1">
        <f t="shared" si="33"/>
        <v>8</v>
      </c>
    </row>
    <row r="43" spans="1:23" x14ac:dyDescent="0.25">
      <c r="A43" s="1">
        <v>7</v>
      </c>
      <c r="B43" s="1" t="str">
        <f t="shared" si="32"/>
        <v>Alemanha</v>
      </c>
      <c r="C43" s="1">
        <f t="shared" si="33"/>
        <v>8</v>
      </c>
    </row>
    <row r="44" spans="1:23" x14ac:dyDescent="0.25">
      <c r="A44" s="1">
        <v>8</v>
      </c>
      <c r="B44" s="1" t="str">
        <f t="shared" si="32"/>
        <v>Estados Unidos</v>
      </c>
      <c r="C44" s="1">
        <f t="shared" si="33"/>
        <v>8</v>
      </c>
    </row>
  </sheetData>
  <mergeCells count="10">
    <mergeCell ref="D25:F25"/>
    <mergeCell ref="G25:L25"/>
    <mergeCell ref="M25:O25"/>
    <mergeCell ref="P25:R25"/>
    <mergeCell ref="S25:W25"/>
    <mergeCell ref="D1:F1"/>
    <mergeCell ref="G1:L1"/>
    <mergeCell ref="M1:O1"/>
    <mergeCell ref="P1:R1"/>
    <mergeCell ref="S1:W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topLeftCell="A89" workbookViewId="0">
      <selection activeCell="T88" sqref="T88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70" t="s">
        <v>0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AU2" s="63" t="s">
        <v>79</v>
      </c>
      <c r="AV2" s="64"/>
      <c r="AW2" s="65"/>
      <c r="AX2" s="63" t="s">
        <v>14</v>
      </c>
      <c r="AY2" s="64"/>
      <c r="AZ2" s="65"/>
      <c r="BA2" s="63" t="s">
        <v>60</v>
      </c>
      <c r="BB2" s="64"/>
      <c r="BC2" s="64"/>
      <c r="BD2" s="64"/>
      <c r="BE2" s="64"/>
      <c r="BF2" s="65"/>
      <c r="BG2" s="63" t="s">
        <v>61</v>
      </c>
      <c r="BH2" s="64"/>
      <c r="BI2" s="65"/>
      <c r="BJ2" s="63" t="s">
        <v>62</v>
      </c>
      <c r="BK2" s="64"/>
      <c r="BL2" s="65"/>
    </row>
    <row r="3" spans="2:64" ht="14.25" x14ac:dyDescent="0.25">
      <c r="B3" s="66" t="s">
        <v>1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6" t="s">
        <v>2</v>
      </c>
      <c r="C4" s="24"/>
      <c r="D4" s="67" t="s">
        <v>3</v>
      </c>
      <c r="E4" s="67"/>
      <c r="F4" s="67"/>
      <c r="G4" s="20"/>
      <c r="H4" s="68" t="s">
        <v>4</v>
      </c>
      <c r="I4" s="68"/>
      <c r="J4" s="68"/>
      <c r="K4" s="68" t="s">
        <v>5</v>
      </c>
      <c r="L4" s="68"/>
      <c r="M4" s="68"/>
      <c r="N4" s="68" t="s">
        <v>7</v>
      </c>
      <c r="O4" s="68"/>
      <c r="P4" s="68"/>
      <c r="Q4" s="68" t="s">
        <v>8</v>
      </c>
      <c r="R4" s="68"/>
      <c r="S4" s="68"/>
      <c r="T4" s="68" t="s">
        <v>9</v>
      </c>
      <c r="U4" s="68"/>
      <c r="V4" s="68"/>
      <c r="W4" s="68" t="s">
        <v>10</v>
      </c>
      <c r="X4" s="68"/>
      <c r="Y4" s="68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Itália</v>
      </c>
      <c r="AW4" s="28">
        <f>VLOOKUP($AU4,Dummy!$A:$R,3,FALSE)</f>
        <v>22</v>
      </c>
      <c r="AX4" s="28">
        <f>VLOOKUP($AU4,Dummy!$A:$R,4,FALSE)</f>
        <v>8</v>
      </c>
      <c r="AY4" s="28">
        <f>VLOOKUP($AU4,Dummy!$A:$R,5,FALSE)</f>
        <v>8</v>
      </c>
      <c r="AZ4" s="28">
        <f>VLOOKUP($AU4,Dummy!$A:$R,6,FALSE)</f>
        <v>0</v>
      </c>
      <c r="BA4" s="28">
        <f>VLOOKUP($AU4,Dummy!$A:$R,7,FALSE)</f>
        <v>5</v>
      </c>
      <c r="BB4" s="28">
        <f>VLOOKUP($AU4,Dummy!$A:$R,8,FALSE)</f>
        <v>1</v>
      </c>
      <c r="BC4" s="28">
        <f>VLOOKUP($AU4,Dummy!$A:$R,9,FALSE)</f>
        <v>2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24</v>
      </c>
      <c r="BH4" s="28">
        <f>VLOOKUP($AU4,Dummy!$A:$R,14,FALSE)</f>
        <v>5</v>
      </c>
      <c r="BI4" s="29">
        <f>VLOOKUP($AU4,Dummy!$A:$R,15,FALSE)</f>
        <v>4800</v>
      </c>
      <c r="BJ4" s="28">
        <f>VLOOKUP($AU4,Dummy!$A:$R,16,FALSE)</f>
        <v>701</v>
      </c>
      <c r="BK4" s="28">
        <f>VLOOKUP($AU4,Dummy!$A:$R,17,FALSE)</f>
        <v>542</v>
      </c>
      <c r="BL4" s="29">
        <f>VLOOKUP($AU4,Dummy!$A:$R,18,FALSE)</f>
        <v>1293.3579335793356</v>
      </c>
    </row>
    <row r="5" spans="2:64" x14ac:dyDescent="0.25">
      <c r="B5" s="17">
        <v>45812</v>
      </c>
      <c r="C5" s="25" t="s">
        <v>37</v>
      </c>
      <c r="D5" s="33">
        <v>0</v>
      </c>
      <c r="E5" s="11" t="s">
        <v>6</v>
      </c>
      <c r="F5" s="34">
        <v>3</v>
      </c>
      <c r="G5" s="21" t="s">
        <v>29</v>
      </c>
      <c r="H5" s="33">
        <v>17</v>
      </c>
      <c r="I5" s="11" t="s">
        <v>6</v>
      </c>
      <c r="J5" s="34">
        <v>25</v>
      </c>
      <c r="K5" s="33">
        <v>15</v>
      </c>
      <c r="L5" s="11" t="s">
        <v>6</v>
      </c>
      <c r="M5" s="34">
        <v>25</v>
      </c>
      <c r="N5" s="33">
        <v>16</v>
      </c>
      <c r="O5" s="11" t="s">
        <v>6</v>
      </c>
      <c r="P5" s="34">
        <v>25</v>
      </c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48</v>
      </c>
      <c r="X5" s="13" t="s">
        <v>6</v>
      </c>
      <c r="Y5" s="14">
        <f>SUM(J5,M5,P5,S5,V5)</f>
        <v>75</v>
      </c>
      <c r="AA5" s="4">
        <f>AD5+AE5</f>
        <v>3</v>
      </c>
      <c r="AB5" s="4" t="str">
        <f>IF(OR(D5="",F5=""),0,IF(D5&gt;F5,C5,G5))</f>
        <v>Japão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0</v>
      </c>
      <c r="AF5" s="4">
        <f>IF(AND(AD5=3,AE5=0),1,0)</f>
        <v>1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75</v>
      </c>
      <c r="AJ5" s="4">
        <f>IF(D5&gt;F5,SUM(J5,M5,P5,S5,V5),SUM(H5,K5,N5,Q5,T5))</f>
        <v>48</v>
      </c>
      <c r="AL5" s="4" t="str">
        <f>IF(OR(D5="",F5=""),0,IF(D5&lt;F5,C5,G5))</f>
        <v>Holanda</v>
      </c>
      <c r="AM5" s="4">
        <f>IF(OR(D5="",F5=""),0,1)</f>
        <v>1</v>
      </c>
      <c r="AN5" s="4">
        <f>IF(OR(D5="",F5=""),0,IF(D5&lt;F5,D5,F5))</f>
        <v>0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0</v>
      </c>
      <c r="AR5" s="4">
        <f>IF(AND(AN5=0,AO5=3),1,0)</f>
        <v>1</v>
      </c>
      <c r="AS5" s="4">
        <f>IF(D5&lt;F5,SUM(H5,K5,N5,Q5,T5,),SUM(J5,M5,P5,S5,V5))</f>
        <v>48</v>
      </c>
      <c r="AT5" s="4">
        <f>IF(D5&lt;F5,SUM(J5,M5,P5,S5,V5),SUM(H5,K5,N5,Q5,T5))</f>
        <v>75</v>
      </c>
      <c r="AU5" s="31">
        <v>2</v>
      </c>
      <c r="AV5" s="30" t="str">
        <f>VLOOKUP($AU5,Dummy!$A:$R,2,FALSE)</f>
        <v>Polônia</v>
      </c>
      <c r="AW5" s="28">
        <f>VLOOKUP($AU5,Dummy!$A:$R,3,FALSE)</f>
        <v>21</v>
      </c>
      <c r="AX5" s="28">
        <f>VLOOKUP($AU5,Dummy!$A:$R,4,FALSE)</f>
        <v>8</v>
      </c>
      <c r="AY5" s="28">
        <f>VLOOKUP($AU5,Dummy!$A:$R,5,FALSE)</f>
        <v>7</v>
      </c>
      <c r="AZ5" s="28">
        <f>VLOOKUP($AU5,Dummy!$A:$R,6,FALSE)</f>
        <v>1</v>
      </c>
      <c r="BA5" s="28">
        <f>VLOOKUP($AU5,Dummy!$A:$R,7,FALSE)</f>
        <v>3</v>
      </c>
      <c r="BB5" s="28">
        <f>VLOOKUP($AU5,Dummy!$A:$R,8,FALSE)</f>
        <v>3</v>
      </c>
      <c r="BC5" s="28">
        <f>VLOOKUP($AU5,Dummy!$A:$R,9,FALSE)</f>
        <v>1</v>
      </c>
      <c r="BD5" s="28">
        <f>VLOOKUP($AU5,Dummy!$A:$R,10,FALSE)</f>
        <v>1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23</v>
      </c>
      <c r="BH5" s="28">
        <f>VLOOKUP($AU5,Dummy!$A:$R,14,FALSE)</f>
        <v>8</v>
      </c>
      <c r="BI5" s="29">
        <f>VLOOKUP($AU5,Dummy!$A:$R,15,FALSE)</f>
        <v>2875</v>
      </c>
      <c r="BJ5" s="28">
        <f>VLOOKUP($AU5,Dummy!$A:$R,16,FALSE)</f>
        <v>715</v>
      </c>
      <c r="BK5" s="28">
        <f>VLOOKUP($AU5,Dummy!$A:$R,17,FALSE)</f>
        <v>631</v>
      </c>
      <c r="BL5" s="29">
        <f>VLOOKUP($AU5,Dummy!$A:$R,18,FALSE)</f>
        <v>1133.1220285261491</v>
      </c>
    </row>
    <row r="6" spans="2:64" x14ac:dyDescent="0.25">
      <c r="B6" s="17">
        <v>45812</v>
      </c>
      <c r="C6" s="25" t="s">
        <v>56</v>
      </c>
      <c r="D6" s="33">
        <v>3</v>
      </c>
      <c r="E6" s="11" t="s">
        <v>6</v>
      </c>
      <c r="F6" s="34">
        <v>2</v>
      </c>
      <c r="G6" s="21" t="s">
        <v>57</v>
      </c>
      <c r="H6" s="33">
        <v>26</v>
      </c>
      <c r="I6" s="11" t="s">
        <v>6</v>
      </c>
      <c r="J6" s="34">
        <v>28</v>
      </c>
      <c r="K6" s="33">
        <v>19</v>
      </c>
      <c r="L6" s="11" t="s">
        <v>6</v>
      </c>
      <c r="M6" s="34">
        <v>25</v>
      </c>
      <c r="N6" s="33">
        <v>25</v>
      </c>
      <c r="O6" s="11" t="s">
        <v>6</v>
      </c>
      <c r="P6" s="34">
        <v>15</v>
      </c>
      <c r="Q6" s="33">
        <v>25</v>
      </c>
      <c r="R6" s="11" t="s">
        <v>6</v>
      </c>
      <c r="S6" s="34">
        <v>20</v>
      </c>
      <c r="T6" s="33">
        <v>18</v>
      </c>
      <c r="U6" s="11" t="s">
        <v>6</v>
      </c>
      <c r="V6" s="34">
        <v>16</v>
      </c>
      <c r="W6" s="12">
        <f t="shared" ref="W6:W16" si="0">SUM(H6,K6,N6,Q6,T6)</f>
        <v>113</v>
      </c>
      <c r="X6" s="13" t="s">
        <v>6</v>
      </c>
      <c r="Y6" s="14">
        <f t="shared" ref="Y6:Y16" si="1">SUM(J6,M6,P6,S6,V6)</f>
        <v>104</v>
      </c>
      <c r="AA6" s="4">
        <f t="shared" ref="AA6:AA16" si="2">AD6+AE6</f>
        <v>5</v>
      </c>
      <c r="AB6" s="4" t="str">
        <f t="shared" ref="AB6:AB16" si="3">IF(OR(D6="",F6=""),0,IF(D6&gt;F6,C6,G6))</f>
        <v>República Dominicana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113</v>
      </c>
      <c r="AJ6" s="4">
        <f t="shared" ref="AJ6:AJ16" si="11">IF(D6&gt;F6,SUM(J6,M6,P6,S6,V6),SUM(H6,K6,N6,Q6,T6))</f>
        <v>104</v>
      </c>
      <c r="AL6" s="4" t="str">
        <f t="shared" ref="AL6:AL16" si="12">IF(OR(D6="",F6=""),0,IF(D6&lt;F6,C6,G6))</f>
        <v>Sérvia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104</v>
      </c>
      <c r="AT6" s="4">
        <f t="shared" ref="AT6:AT16" si="20">IF(D6&lt;F6,SUM(J6,M6,P6,S6,V6),SUM(H6,K6,N6,Q6,T6))</f>
        <v>113</v>
      </c>
      <c r="AU6" s="31">
        <v>3</v>
      </c>
      <c r="AV6" s="30" t="str">
        <f>VLOOKUP($AU6,Dummy!$A:$R,2,FALSE)</f>
        <v>Brasil</v>
      </c>
      <c r="AW6" s="28">
        <f>VLOOKUP($AU6,Dummy!$A:$R,3,FALSE)</f>
        <v>20</v>
      </c>
      <c r="AX6" s="28">
        <f>VLOOKUP($AU6,Dummy!$A:$R,4,FALSE)</f>
        <v>8</v>
      </c>
      <c r="AY6" s="28">
        <f>VLOOKUP($AU6,Dummy!$A:$R,5,FALSE)</f>
        <v>7</v>
      </c>
      <c r="AZ6" s="28">
        <f>VLOOKUP($AU6,Dummy!$A:$R,6,FALSE)</f>
        <v>1</v>
      </c>
      <c r="BA6" s="28">
        <f>VLOOKUP($AU6,Dummy!$A:$R,7,FALSE)</f>
        <v>4</v>
      </c>
      <c r="BB6" s="28">
        <f>VLOOKUP($AU6,Dummy!$A:$R,8,FALSE)</f>
        <v>2</v>
      </c>
      <c r="BC6" s="28">
        <f>VLOOKUP($AU6,Dummy!$A:$R,9,FALSE)</f>
        <v>1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1</v>
      </c>
      <c r="BG6" s="28">
        <f>VLOOKUP($AU6,Dummy!$A:$R,13,FALSE)</f>
        <v>21</v>
      </c>
      <c r="BH6" s="28">
        <f>VLOOKUP($AU6,Dummy!$A:$R,14,FALSE)</f>
        <v>7</v>
      </c>
      <c r="BI6" s="29">
        <f>VLOOKUP($AU6,Dummy!$A:$R,15,FALSE)</f>
        <v>3000</v>
      </c>
      <c r="BJ6" s="28">
        <f>VLOOKUP($AU6,Dummy!$A:$R,16,FALSE)</f>
        <v>673</v>
      </c>
      <c r="BK6" s="28">
        <f>VLOOKUP($AU6,Dummy!$A:$R,17,FALSE)</f>
        <v>579</v>
      </c>
      <c r="BL6" s="29">
        <f>VLOOKUP($AU6,Dummy!$A:$R,18,FALSE)</f>
        <v>1162.348877374784</v>
      </c>
    </row>
    <row r="7" spans="2:64" x14ac:dyDescent="0.25">
      <c r="B7" s="17">
        <v>45812</v>
      </c>
      <c r="C7" s="25" t="s">
        <v>50</v>
      </c>
      <c r="D7" s="33">
        <v>2</v>
      </c>
      <c r="E7" s="11" t="s">
        <v>6</v>
      </c>
      <c r="F7" s="34">
        <v>3</v>
      </c>
      <c r="G7" s="21" t="s">
        <v>51</v>
      </c>
      <c r="H7" s="33">
        <v>18</v>
      </c>
      <c r="I7" s="11" t="s">
        <v>6</v>
      </c>
      <c r="J7" s="34">
        <v>25</v>
      </c>
      <c r="K7" s="33">
        <v>12</v>
      </c>
      <c r="L7" s="11" t="s">
        <v>6</v>
      </c>
      <c r="M7" s="34">
        <v>25</v>
      </c>
      <c r="N7" s="33">
        <v>25</v>
      </c>
      <c r="O7" s="11" t="s">
        <v>6</v>
      </c>
      <c r="P7" s="34">
        <v>23</v>
      </c>
      <c r="Q7" s="33">
        <v>25</v>
      </c>
      <c r="R7" s="11" t="s">
        <v>6</v>
      </c>
      <c r="S7" s="34">
        <v>19</v>
      </c>
      <c r="T7" s="33">
        <v>4</v>
      </c>
      <c r="U7" s="11" t="s">
        <v>6</v>
      </c>
      <c r="V7" s="34">
        <v>15</v>
      </c>
      <c r="W7" s="12">
        <f t="shared" si="0"/>
        <v>84</v>
      </c>
      <c r="X7" s="13" t="s">
        <v>6</v>
      </c>
      <c r="Y7" s="14">
        <f t="shared" si="1"/>
        <v>107</v>
      </c>
      <c r="AA7" s="4">
        <f t="shared" si="2"/>
        <v>5</v>
      </c>
      <c r="AB7" s="4" t="str">
        <f t="shared" si="3"/>
        <v>Canadá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107</v>
      </c>
      <c r="AJ7" s="4">
        <f t="shared" si="11"/>
        <v>84</v>
      </c>
      <c r="AL7" s="4" t="str">
        <f t="shared" si="12"/>
        <v>Bulgária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84</v>
      </c>
      <c r="AT7" s="4">
        <f t="shared" si="20"/>
        <v>107</v>
      </c>
      <c r="AU7" s="31">
        <v>4</v>
      </c>
      <c r="AV7" s="30" t="str">
        <f>VLOOKUP($AU7,Dummy!$A:$R,2,FALSE)</f>
        <v>Turquia</v>
      </c>
      <c r="AW7" s="28">
        <f>VLOOKUP($AU7,Dummy!$A:$R,3,FALSE)</f>
        <v>19</v>
      </c>
      <c r="AX7" s="28">
        <f>VLOOKUP($AU7,Dummy!$A:$R,4,FALSE)</f>
        <v>8</v>
      </c>
      <c r="AY7" s="28">
        <f>VLOOKUP($AU7,Dummy!$A:$R,5,FALSE)</f>
        <v>7</v>
      </c>
      <c r="AZ7" s="28">
        <f>VLOOKUP($AU7,Dummy!$A:$R,6,FALSE)</f>
        <v>1</v>
      </c>
      <c r="BA7" s="28">
        <f>VLOOKUP($AU7,Dummy!$A:$R,7,FALSE)</f>
        <v>4</v>
      </c>
      <c r="BB7" s="28">
        <f>VLOOKUP($AU7,Dummy!$A:$R,8,FALSE)</f>
        <v>1</v>
      </c>
      <c r="BC7" s="28">
        <f>VLOOKUP($AU7,Dummy!$A:$R,9,FALSE)</f>
        <v>2</v>
      </c>
      <c r="BD7" s="28">
        <f>VLOOKUP($AU7,Dummy!$A:$R,10,FALSE)</f>
        <v>0</v>
      </c>
      <c r="BE7" s="28">
        <f>VLOOKUP($AU7,Dummy!$A:$R,11,FALSE)</f>
        <v>1</v>
      </c>
      <c r="BF7" s="28">
        <f>VLOOKUP($AU7,Dummy!$A:$R,12,FALSE)</f>
        <v>0</v>
      </c>
      <c r="BG7" s="28">
        <f>VLOOKUP($AU7,Dummy!$A:$R,13,FALSE)</f>
        <v>22</v>
      </c>
      <c r="BH7" s="28">
        <f>VLOOKUP($AU7,Dummy!$A:$R,14,FALSE)</f>
        <v>8</v>
      </c>
      <c r="BI7" s="29">
        <f>VLOOKUP($AU7,Dummy!$A:$R,15,FALSE)</f>
        <v>2750</v>
      </c>
      <c r="BJ7" s="28">
        <f>VLOOKUP($AU7,Dummy!$A:$R,16,FALSE)</f>
        <v>706</v>
      </c>
      <c r="BK7" s="28">
        <f>VLOOKUP($AU7,Dummy!$A:$R,17,FALSE)</f>
        <v>610</v>
      </c>
      <c r="BL7" s="29">
        <f>VLOOKUP($AU7,Dummy!$A:$R,18,FALSE)</f>
        <v>1157.377049180328</v>
      </c>
    </row>
    <row r="8" spans="2:64" x14ac:dyDescent="0.25">
      <c r="B8" s="17">
        <v>45813</v>
      </c>
      <c r="C8" s="25" t="s">
        <v>50</v>
      </c>
      <c r="D8" s="33">
        <v>3</v>
      </c>
      <c r="E8" s="11" t="s">
        <v>6</v>
      </c>
      <c r="F8" s="34">
        <v>1</v>
      </c>
      <c r="G8" s="21" t="s">
        <v>56</v>
      </c>
      <c r="H8" s="33">
        <v>25</v>
      </c>
      <c r="I8" s="11" t="s">
        <v>6</v>
      </c>
      <c r="J8" s="34">
        <v>21</v>
      </c>
      <c r="K8" s="33">
        <v>30</v>
      </c>
      <c r="L8" s="11" t="s">
        <v>6</v>
      </c>
      <c r="M8" s="34">
        <v>32</v>
      </c>
      <c r="N8" s="33">
        <v>25</v>
      </c>
      <c r="O8" s="11" t="s">
        <v>6</v>
      </c>
      <c r="P8" s="34">
        <v>19</v>
      </c>
      <c r="Q8" s="33">
        <v>31</v>
      </c>
      <c r="R8" s="11" t="s">
        <v>6</v>
      </c>
      <c r="S8" s="34">
        <v>29</v>
      </c>
      <c r="T8" s="33">
        <v>15</v>
      </c>
      <c r="U8" s="11" t="s">
        <v>6</v>
      </c>
      <c r="V8" s="34">
        <v>11</v>
      </c>
      <c r="W8" s="12">
        <f t="shared" si="0"/>
        <v>126</v>
      </c>
      <c r="X8" s="13" t="s">
        <v>6</v>
      </c>
      <c r="Y8" s="14">
        <f t="shared" si="1"/>
        <v>112</v>
      </c>
      <c r="AA8" s="4">
        <f t="shared" si="2"/>
        <v>4</v>
      </c>
      <c r="AB8" s="4" t="str">
        <f t="shared" si="3"/>
        <v>Bulgária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126</v>
      </c>
      <c r="AJ8" s="4">
        <f t="shared" si="11"/>
        <v>112</v>
      </c>
      <c r="AL8" s="4" t="str">
        <f t="shared" si="12"/>
        <v>República Dominicana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112</v>
      </c>
      <c r="AT8" s="4">
        <f t="shared" si="20"/>
        <v>126</v>
      </c>
      <c r="AU8" s="31">
        <v>5</v>
      </c>
      <c r="AV8" s="30" t="str">
        <f>VLOOKUP($AU8,Dummy!$A:$R,2,FALSE)</f>
        <v>Japão</v>
      </c>
      <c r="AW8" s="28">
        <f>VLOOKUP($AU8,Dummy!$A:$R,3,FALSE)</f>
        <v>18</v>
      </c>
      <c r="AX8" s="28">
        <f>VLOOKUP($AU8,Dummy!$A:$R,4,FALSE)</f>
        <v>8</v>
      </c>
      <c r="AY8" s="28">
        <f>VLOOKUP($AU8,Dummy!$A:$R,5,FALSE)</f>
        <v>6</v>
      </c>
      <c r="AZ8" s="28">
        <f>VLOOKUP($AU8,Dummy!$A:$R,6,FALSE)</f>
        <v>2</v>
      </c>
      <c r="BA8" s="28">
        <f>VLOOKUP($AU8,Dummy!$A:$R,7,FALSE)</f>
        <v>5</v>
      </c>
      <c r="BB8" s="28">
        <f>VLOOKUP($AU8,Dummy!$A:$R,8,FALSE)</f>
        <v>0</v>
      </c>
      <c r="BC8" s="28">
        <f>VLOOKUP($AU8,Dummy!$A:$R,9,FALSE)</f>
        <v>1</v>
      </c>
      <c r="BD8" s="28">
        <f>VLOOKUP($AU8,Dummy!$A:$R,10,FALSE)</f>
        <v>1</v>
      </c>
      <c r="BE8" s="28">
        <f>VLOOKUP($AU8,Dummy!$A:$R,11,FALSE)</f>
        <v>1</v>
      </c>
      <c r="BF8" s="28">
        <f>VLOOKUP($AU8,Dummy!$A:$R,12,FALSE)</f>
        <v>0</v>
      </c>
      <c r="BG8" s="28">
        <f>VLOOKUP($AU8,Dummy!$A:$R,13,FALSE)</f>
        <v>21</v>
      </c>
      <c r="BH8" s="28">
        <f>VLOOKUP($AU8,Dummy!$A:$R,14,FALSE)</f>
        <v>8</v>
      </c>
      <c r="BI8" s="29">
        <f>VLOOKUP($AU8,Dummy!$A:$R,15,FALSE)</f>
        <v>2625</v>
      </c>
      <c r="BJ8" s="28">
        <f>VLOOKUP($AU8,Dummy!$A:$R,16,FALSE)</f>
        <v>661</v>
      </c>
      <c r="BK8" s="28">
        <f>VLOOKUP($AU8,Dummy!$A:$R,17,FALSE)</f>
        <v>566</v>
      </c>
      <c r="BL8" s="29">
        <f>VLOOKUP($AU8,Dummy!$A:$R,18,FALSE)</f>
        <v>1167.8445229681979</v>
      </c>
    </row>
    <row r="9" spans="2:64" x14ac:dyDescent="0.25">
      <c r="B9" s="17">
        <v>45813</v>
      </c>
      <c r="C9" s="25" t="s">
        <v>51</v>
      </c>
      <c r="D9" s="33">
        <v>1</v>
      </c>
      <c r="E9" s="11" t="s">
        <v>6</v>
      </c>
      <c r="F9" s="34">
        <v>3</v>
      </c>
      <c r="G9" s="21" t="s">
        <v>37</v>
      </c>
      <c r="H9" s="33">
        <v>18</v>
      </c>
      <c r="I9" s="11" t="s">
        <v>6</v>
      </c>
      <c r="J9" s="34">
        <v>25</v>
      </c>
      <c r="K9" s="33">
        <v>25</v>
      </c>
      <c r="L9" s="11" t="s">
        <v>6</v>
      </c>
      <c r="M9" s="34">
        <v>22</v>
      </c>
      <c r="N9" s="33">
        <v>15</v>
      </c>
      <c r="O9" s="11" t="s">
        <v>6</v>
      </c>
      <c r="P9" s="34">
        <v>25</v>
      </c>
      <c r="Q9" s="33">
        <v>23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81</v>
      </c>
      <c r="X9" s="13" t="s">
        <v>6</v>
      </c>
      <c r="Y9" s="14">
        <f t="shared" si="1"/>
        <v>97</v>
      </c>
      <c r="AA9" s="4">
        <f t="shared" si="2"/>
        <v>4</v>
      </c>
      <c r="AB9" s="4" t="str">
        <f t="shared" si="3"/>
        <v>Holanda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97</v>
      </c>
      <c r="AJ9" s="4">
        <f t="shared" si="11"/>
        <v>81</v>
      </c>
      <c r="AL9" s="4" t="str">
        <f t="shared" si="12"/>
        <v>Canadá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81</v>
      </c>
      <c r="AT9" s="4">
        <f t="shared" si="20"/>
        <v>97</v>
      </c>
      <c r="AU9" s="31">
        <v>6</v>
      </c>
      <c r="AV9" s="30" t="str">
        <f>VLOOKUP($AU9,Dummy!$A:$R,2,FALSE)</f>
        <v>China</v>
      </c>
      <c r="AW9" s="28">
        <f>VLOOKUP($AU9,Dummy!$A:$R,3,FALSE)</f>
        <v>15</v>
      </c>
      <c r="AX9" s="28">
        <f>VLOOKUP($AU9,Dummy!$A:$R,4,FALSE)</f>
        <v>8</v>
      </c>
      <c r="AY9" s="28">
        <f>VLOOKUP($AU9,Dummy!$A:$R,5,FALSE)</f>
        <v>5</v>
      </c>
      <c r="AZ9" s="28">
        <f>VLOOKUP($AU9,Dummy!$A:$R,6,FALSE)</f>
        <v>3</v>
      </c>
      <c r="BA9" s="28">
        <f>VLOOKUP($AU9,Dummy!$A:$R,7,FALSE)</f>
        <v>2</v>
      </c>
      <c r="BB9" s="28">
        <f>VLOOKUP($AU9,Dummy!$A:$R,8,FALSE)</f>
        <v>2</v>
      </c>
      <c r="BC9" s="28">
        <f>VLOOKUP($AU9,Dummy!$A:$R,9,FALSE)</f>
        <v>1</v>
      </c>
      <c r="BD9" s="28">
        <f>VLOOKUP($AU9,Dummy!$A:$R,10,FALSE)</f>
        <v>1</v>
      </c>
      <c r="BE9" s="28">
        <f>VLOOKUP($AU9,Dummy!$A:$R,11,FALSE)</f>
        <v>1</v>
      </c>
      <c r="BF9" s="28">
        <f>VLOOKUP($AU9,Dummy!$A:$R,12,FALSE)</f>
        <v>1</v>
      </c>
      <c r="BG9" s="28">
        <f>VLOOKUP($AU9,Dummy!$A:$R,13,FALSE)</f>
        <v>18</v>
      </c>
      <c r="BH9" s="28">
        <f>VLOOKUP($AU9,Dummy!$A:$R,14,FALSE)</f>
        <v>13</v>
      </c>
      <c r="BI9" s="29">
        <f>VLOOKUP($AU9,Dummy!$A:$R,15,FALSE)</f>
        <v>1384.6153846153845</v>
      </c>
      <c r="BJ9" s="28">
        <f>VLOOKUP($AU9,Dummy!$A:$R,16,FALSE)</f>
        <v>722</v>
      </c>
      <c r="BK9" s="28">
        <f>VLOOKUP($AU9,Dummy!$A:$R,17,FALSE)</f>
        <v>659</v>
      </c>
      <c r="BL9" s="29">
        <f>VLOOKUP($AU9,Dummy!$A:$R,18,FALSE)</f>
        <v>1095.5993930197267</v>
      </c>
    </row>
    <row r="10" spans="2:64" x14ac:dyDescent="0.25">
      <c r="B10" s="17">
        <v>45814</v>
      </c>
      <c r="C10" s="25" t="s">
        <v>56</v>
      </c>
      <c r="D10" s="33">
        <v>3</v>
      </c>
      <c r="E10" s="11" t="s">
        <v>6</v>
      </c>
      <c r="F10" s="34">
        <v>2</v>
      </c>
      <c r="G10" s="21" t="s">
        <v>37</v>
      </c>
      <c r="H10" s="33">
        <v>22</v>
      </c>
      <c r="I10" s="11" t="s">
        <v>6</v>
      </c>
      <c r="J10" s="34">
        <v>25</v>
      </c>
      <c r="K10" s="33">
        <v>25</v>
      </c>
      <c r="L10" s="11" t="s">
        <v>6</v>
      </c>
      <c r="M10" s="34">
        <v>19</v>
      </c>
      <c r="N10" s="33">
        <v>28</v>
      </c>
      <c r="O10" s="11" t="s">
        <v>6</v>
      </c>
      <c r="P10" s="34">
        <v>26</v>
      </c>
      <c r="Q10" s="33">
        <v>22</v>
      </c>
      <c r="R10" s="11" t="s">
        <v>6</v>
      </c>
      <c r="S10" s="34">
        <v>25</v>
      </c>
      <c r="T10" s="33">
        <v>15</v>
      </c>
      <c r="U10" s="11" t="s">
        <v>6</v>
      </c>
      <c r="V10" s="34">
        <v>13</v>
      </c>
      <c r="W10" s="12">
        <f t="shared" si="0"/>
        <v>112</v>
      </c>
      <c r="X10" s="13" t="s">
        <v>6</v>
      </c>
      <c r="Y10" s="14">
        <f t="shared" si="1"/>
        <v>108</v>
      </c>
      <c r="AA10" s="4">
        <f t="shared" si="2"/>
        <v>5</v>
      </c>
      <c r="AB10" s="4" t="str">
        <f t="shared" si="3"/>
        <v>República Dominicana</v>
      </c>
      <c r="AC10" s="4">
        <f t="shared" si="4"/>
        <v>1</v>
      </c>
      <c r="AD10" s="4">
        <f t="shared" si="5"/>
        <v>3</v>
      </c>
      <c r="AE10" s="4">
        <f t="shared" si="6"/>
        <v>2</v>
      </c>
      <c r="AF10" s="4">
        <f t="shared" si="7"/>
        <v>0</v>
      </c>
      <c r="AG10" s="4">
        <f t="shared" si="8"/>
        <v>0</v>
      </c>
      <c r="AH10" s="4">
        <f t="shared" si="9"/>
        <v>1</v>
      </c>
      <c r="AI10" s="4">
        <f t="shared" si="10"/>
        <v>112</v>
      </c>
      <c r="AJ10" s="4">
        <f t="shared" si="11"/>
        <v>108</v>
      </c>
      <c r="AL10" s="4" t="str">
        <f t="shared" si="12"/>
        <v>Holanda</v>
      </c>
      <c r="AM10" s="4">
        <f t="shared" si="13"/>
        <v>1</v>
      </c>
      <c r="AN10" s="4">
        <f t="shared" si="14"/>
        <v>2</v>
      </c>
      <c r="AO10" s="4">
        <f t="shared" si="15"/>
        <v>3</v>
      </c>
      <c r="AP10" s="4">
        <f t="shared" si="16"/>
        <v>1</v>
      </c>
      <c r="AQ10" s="4">
        <f t="shared" si="17"/>
        <v>0</v>
      </c>
      <c r="AR10" s="4">
        <f t="shared" si="18"/>
        <v>0</v>
      </c>
      <c r="AS10" s="4">
        <f t="shared" si="19"/>
        <v>108</v>
      </c>
      <c r="AT10" s="4">
        <f t="shared" si="20"/>
        <v>112</v>
      </c>
      <c r="AU10" s="31">
        <v>7</v>
      </c>
      <c r="AV10" s="30" t="str">
        <f>VLOOKUP($AU10,Dummy!$A:$R,2,FALSE)</f>
        <v>Alemanha</v>
      </c>
      <c r="AW10" s="28">
        <f>VLOOKUP($AU10,Dummy!$A:$R,3,FALSE)</f>
        <v>14</v>
      </c>
      <c r="AX10" s="28">
        <f>VLOOKUP($AU10,Dummy!$A:$R,4,FALSE)</f>
        <v>8</v>
      </c>
      <c r="AY10" s="28">
        <f>VLOOKUP($AU10,Dummy!$A:$R,5,FALSE)</f>
        <v>4</v>
      </c>
      <c r="AZ10" s="28">
        <f>VLOOKUP($AU10,Dummy!$A:$R,6,FALSE)</f>
        <v>4</v>
      </c>
      <c r="BA10" s="28">
        <f>VLOOKUP($AU10,Dummy!$A:$R,7,FALSE)</f>
        <v>1</v>
      </c>
      <c r="BB10" s="28">
        <f>VLOOKUP($AU10,Dummy!$A:$R,8,FALSE)</f>
        <v>2</v>
      </c>
      <c r="BC10" s="28">
        <f>VLOOKUP($AU10,Dummy!$A:$R,9,FALSE)</f>
        <v>1</v>
      </c>
      <c r="BD10" s="28">
        <f>VLOOKUP($AU10,Dummy!$A:$R,10,FALSE)</f>
        <v>3</v>
      </c>
      <c r="BE10" s="28">
        <f>VLOOKUP($AU10,Dummy!$A:$R,11,FALSE)</f>
        <v>0</v>
      </c>
      <c r="BF10" s="28">
        <f>VLOOKUP($AU10,Dummy!$A:$R,12,FALSE)</f>
        <v>1</v>
      </c>
      <c r="BG10" s="28">
        <f>VLOOKUP($AU10,Dummy!$A:$R,13,FALSE)</f>
        <v>18</v>
      </c>
      <c r="BH10" s="28">
        <f>VLOOKUP($AU10,Dummy!$A:$R,14,FALSE)</f>
        <v>16</v>
      </c>
      <c r="BI10" s="29">
        <f>VLOOKUP($AU10,Dummy!$A:$R,15,FALSE)</f>
        <v>1125</v>
      </c>
      <c r="BJ10" s="28">
        <f>VLOOKUP($AU10,Dummy!$A:$R,16,FALSE)</f>
        <v>721</v>
      </c>
      <c r="BK10" s="28">
        <f>VLOOKUP($AU10,Dummy!$A:$R,17,FALSE)</f>
        <v>738</v>
      </c>
      <c r="BL10" s="29">
        <f>VLOOKUP($AU10,Dummy!$A:$R,18,FALSE)</f>
        <v>976.96476964769647</v>
      </c>
    </row>
    <row r="11" spans="2:64" x14ac:dyDescent="0.25">
      <c r="B11" s="17">
        <v>45814</v>
      </c>
      <c r="C11" s="25" t="s">
        <v>57</v>
      </c>
      <c r="D11" s="33">
        <v>0</v>
      </c>
      <c r="E11" s="11" t="s">
        <v>6</v>
      </c>
      <c r="F11" s="34">
        <v>3</v>
      </c>
      <c r="G11" s="21" t="s">
        <v>29</v>
      </c>
      <c r="H11" s="33">
        <v>19</v>
      </c>
      <c r="I11" s="11" t="s">
        <v>6</v>
      </c>
      <c r="J11" s="34">
        <v>25</v>
      </c>
      <c r="K11" s="33">
        <v>21</v>
      </c>
      <c r="L11" s="11" t="s">
        <v>6</v>
      </c>
      <c r="M11" s="34">
        <v>25</v>
      </c>
      <c r="N11" s="33">
        <v>13</v>
      </c>
      <c r="O11" s="11" t="s">
        <v>6</v>
      </c>
      <c r="P11" s="34">
        <v>25</v>
      </c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53</v>
      </c>
      <c r="X11" s="13" t="s">
        <v>6</v>
      </c>
      <c r="Y11" s="14">
        <f t="shared" si="1"/>
        <v>75</v>
      </c>
      <c r="AA11" s="4">
        <f t="shared" si="2"/>
        <v>3</v>
      </c>
      <c r="AB11" s="4" t="str">
        <f t="shared" si="3"/>
        <v>Japão</v>
      </c>
      <c r="AC11" s="4">
        <f t="shared" si="4"/>
        <v>1</v>
      </c>
      <c r="AD11" s="4">
        <f t="shared" si="5"/>
        <v>3</v>
      </c>
      <c r="AE11" s="4">
        <f t="shared" si="6"/>
        <v>0</v>
      </c>
      <c r="AF11" s="4">
        <f t="shared" si="7"/>
        <v>1</v>
      </c>
      <c r="AG11" s="4">
        <f t="shared" si="8"/>
        <v>0</v>
      </c>
      <c r="AH11" s="4">
        <f t="shared" si="9"/>
        <v>0</v>
      </c>
      <c r="AI11" s="4">
        <f t="shared" si="10"/>
        <v>75</v>
      </c>
      <c r="AJ11" s="4">
        <f t="shared" si="11"/>
        <v>53</v>
      </c>
      <c r="AL11" s="4" t="str">
        <f t="shared" si="12"/>
        <v>Sérvia</v>
      </c>
      <c r="AM11" s="4">
        <f t="shared" si="13"/>
        <v>1</v>
      </c>
      <c r="AN11" s="4">
        <f t="shared" si="14"/>
        <v>0</v>
      </c>
      <c r="AO11" s="4">
        <f t="shared" si="15"/>
        <v>3</v>
      </c>
      <c r="AP11" s="4">
        <f t="shared" si="16"/>
        <v>0</v>
      </c>
      <c r="AQ11" s="4">
        <f t="shared" si="17"/>
        <v>0</v>
      </c>
      <c r="AR11" s="4">
        <f t="shared" si="18"/>
        <v>1</v>
      </c>
      <c r="AS11" s="4">
        <f t="shared" si="19"/>
        <v>53</v>
      </c>
      <c r="AT11" s="4">
        <f t="shared" si="20"/>
        <v>75</v>
      </c>
      <c r="AU11" s="31">
        <v>8</v>
      </c>
      <c r="AV11" s="30" t="str">
        <f>VLOOKUP($AU11,Dummy!$A:$R,2,FALSE)</f>
        <v>Estados Unidos</v>
      </c>
      <c r="AW11" s="28">
        <f>VLOOKUP($AU11,Dummy!$A:$R,3,FALSE)</f>
        <v>11</v>
      </c>
      <c r="AX11" s="28">
        <f>VLOOKUP($AU11,Dummy!$A:$R,4,FALSE)</f>
        <v>8</v>
      </c>
      <c r="AY11" s="28">
        <f>VLOOKUP($AU11,Dummy!$A:$R,5,FALSE)</f>
        <v>4</v>
      </c>
      <c r="AZ11" s="28">
        <f>VLOOKUP($AU11,Dummy!$A:$R,6,FALSE)</f>
        <v>4</v>
      </c>
      <c r="BA11" s="28">
        <f>VLOOKUP($AU11,Dummy!$A:$R,7,FALSE)</f>
        <v>2</v>
      </c>
      <c r="BB11" s="28">
        <f>VLOOKUP($AU11,Dummy!$A:$R,8,FALSE)</f>
        <v>0</v>
      </c>
      <c r="BC11" s="28">
        <f>VLOOKUP($AU11,Dummy!$A:$R,9,FALSE)</f>
        <v>2</v>
      </c>
      <c r="BD11" s="28">
        <f>VLOOKUP($AU11,Dummy!$A:$R,10,FALSE)</f>
        <v>1</v>
      </c>
      <c r="BE11" s="28">
        <f>VLOOKUP($AU11,Dummy!$A:$R,11,FALSE)</f>
        <v>1</v>
      </c>
      <c r="BF11" s="28">
        <f>VLOOKUP($AU11,Dummy!$A:$R,12,FALSE)</f>
        <v>2</v>
      </c>
      <c r="BG11" s="28">
        <f>VLOOKUP($AU11,Dummy!$A:$R,13,FALSE)</f>
        <v>15</v>
      </c>
      <c r="BH11" s="28">
        <f>VLOOKUP($AU11,Dummy!$A:$R,14,FALSE)</f>
        <v>16</v>
      </c>
      <c r="BI11" s="29">
        <f>VLOOKUP($AU11,Dummy!$A:$R,15,FALSE)</f>
        <v>937.5</v>
      </c>
      <c r="BJ11" s="28">
        <f>VLOOKUP($AU11,Dummy!$A:$R,16,FALSE)</f>
        <v>669</v>
      </c>
      <c r="BK11" s="28">
        <f>VLOOKUP($AU11,Dummy!$A:$R,17,FALSE)</f>
        <v>697</v>
      </c>
      <c r="BL11" s="29">
        <f>VLOOKUP($AU11,Dummy!$A:$R,18,FALSE)</f>
        <v>959.82783357245341</v>
      </c>
    </row>
    <row r="12" spans="2:64" x14ac:dyDescent="0.25">
      <c r="B12" s="17">
        <v>45815</v>
      </c>
      <c r="C12" s="25" t="s">
        <v>51</v>
      </c>
      <c r="D12" s="33">
        <v>0</v>
      </c>
      <c r="E12" s="11" t="s">
        <v>6</v>
      </c>
      <c r="F12" s="34">
        <v>3</v>
      </c>
      <c r="G12" s="21" t="s">
        <v>29</v>
      </c>
      <c r="H12" s="33">
        <v>24</v>
      </c>
      <c r="I12" s="11" t="s">
        <v>6</v>
      </c>
      <c r="J12" s="34">
        <v>26</v>
      </c>
      <c r="K12" s="33">
        <v>20</v>
      </c>
      <c r="L12" s="11" t="s">
        <v>6</v>
      </c>
      <c r="M12" s="34">
        <v>25</v>
      </c>
      <c r="N12" s="33">
        <v>19</v>
      </c>
      <c r="O12" s="11" t="s">
        <v>6</v>
      </c>
      <c r="P12" s="34">
        <v>25</v>
      </c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63</v>
      </c>
      <c r="X12" s="13" t="s">
        <v>6</v>
      </c>
      <c r="Y12" s="14">
        <f t="shared" si="1"/>
        <v>76</v>
      </c>
      <c r="AA12" s="4">
        <f t="shared" si="2"/>
        <v>3</v>
      </c>
      <c r="AB12" s="4" t="str">
        <f t="shared" si="3"/>
        <v>Japão</v>
      </c>
      <c r="AC12" s="4">
        <f t="shared" si="4"/>
        <v>1</v>
      </c>
      <c r="AD12" s="4">
        <f t="shared" si="5"/>
        <v>3</v>
      </c>
      <c r="AE12" s="4">
        <f t="shared" si="6"/>
        <v>0</v>
      </c>
      <c r="AF12" s="4">
        <f t="shared" si="7"/>
        <v>1</v>
      </c>
      <c r="AG12" s="4">
        <f t="shared" si="8"/>
        <v>0</v>
      </c>
      <c r="AH12" s="4">
        <f t="shared" si="9"/>
        <v>0</v>
      </c>
      <c r="AI12" s="4">
        <f t="shared" si="10"/>
        <v>76</v>
      </c>
      <c r="AJ12" s="4">
        <f t="shared" si="11"/>
        <v>63</v>
      </c>
      <c r="AL12" s="4" t="str">
        <f t="shared" si="12"/>
        <v>Canadá</v>
      </c>
      <c r="AM12" s="4">
        <f t="shared" si="13"/>
        <v>1</v>
      </c>
      <c r="AN12" s="4">
        <f t="shared" si="14"/>
        <v>0</v>
      </c>
      <c r="AO12" s="4">
        <f t="shared" si="15"/>
        <v>3</v>
      </c>
      <c r="AP12" s="4">
        <f t="shared" si="16"/>
        <v>0</v>
      </c>
      <c r="AQ12" s="4">
        <f t="shared" si="17"/>
        <v>0</v>
      </c>
      <c r="AR12" s="4">
        <f t="shared" si="18"/>
        <v>1</v>
      </c>
      <c r="AS12" s="4">
        <f t="shared" si="19"/>
        <v>63</v>
      </c>
      <c r="AT12" s="4">
        <f t="shared" si="20"/>
        <v>76</v>
      </c>
      <c r="AU12" s="31">
        <v>9</v>
      </c>
      <c r="AV12" s="30" t="str">
        <f>VLOOKUP($AU12,Dummy!$A:$R,2,FALSE)</f>
        <v>República Dominicana</v>
      </c>
      <c r="AW12" s="28">
        <f>VLOOKUP($AU12,Dummy!$A:$R,3,FALSE)</f>
        <v>9</v>
      </c>
      <c r="AX12" s="28">
        <f>VLOOKUP($AU12,Dummy!$A:$R,4,FALSE)</f>
        <v>8</v>
      </c>
      <c r="AY12" s="28">
        <f>VLOOKUP($AU12,Dummy!$A:$R,5,FALSE)</f>
        <v>4</v>
      </c>
      <c r="AZ12" s="28">
        <f>VLOOKUP($AU12,Dummy!$A:$R,6,FALSE)</f>
        <v>4</v>
      </c>
      <c r="BA12" s="28">
        <f>VLOOKUP($AU12,Dummy!$A:$R,7,FALSE)</f>
        <v>1</v>
      </c>
      <c r="BB12" s="28">
        <f>VLOOKUP($AU12,Dummy!$A:$R,8,FALSE)</f>
        <v>0</v>
      </c>
      <c r="BC12" s="28">
        <f>VLOOKUP($AU12,Dummy!$A:$R,9,FALSE)</f>
        <v>3</v>
      </c>
      <c r="BD12" s="28">
        <f>VLOOKUP($AU12,Dummy!$A:$R,10,FALSE)</f>
        <v>0</v>
      </c>
      <c r="BE12" s="28">
        <f>VLOOKUP($AU12,Dummy!$A:$R,11,FALSE)</f>
        <v>1</v>
      </c>
      <c r="BF12" s="28">
        <f>VLOOKUP($AU12,Dummy!$A:$R,12,FALSE)</f>
        <v>3</v>
      </c>
      <c r="BG12" s="28">
        <f>VLOOKUP($AU12,Dummy!$A:$R,13,FALSE)</f>
        <v>13</v>
      </c>
      <c r="BH12" s="28">
        <f>VLOOKUP($AU12,Dummy!$A:$R,14,FALSE)</f>
        <v>18</v>
      </c>
      <c r="BI12" s="29">
        <f>VLOOKUP($AU12,Dummy!$A:$R,15,FALSE)</f>
        <v>722.22222222222217</v>
      </c>
      <c r="BJ12" s="28">
        <f>VLOOKUP($AU12,Dummy!$A:$R,16,FALSE)</f>
        <v>698</v>
      </c>
      <c r="BK12" s="28">
        <f>VLOOKUP($AU12,Dummy!$A:$R,17,FALSE)</f>
        <v>726</v>
      </c>
      <c r="BL12" s="29">
        <f>VLOOKUP($AU12,Dummy!$A:$R,18,FALSE)</f>
        <v>961.43250688705234</v>
      </c>
    </row>
    <row r="13" spans="2:64" x14ac:dyDescent="0.25">
      <c r="B13" s="17">
        <v>45815</v>
      </c>
      <c r="C13" s="25" t="s">
        <v>50</v>
      </c>
      <c r="D13" s="33">
        <v>3</v>
      </c>
      <c r="E13" s="11" t="s">
        <v>6</v>
      </c>
      <c r="F13" s="34">
        <v>2</v>
      </c>
      <c r="G13" s="21" t="s">
        <v>57</v>
      </c>
      <c r="H13" s="33">
        <v>12</v>
      </c>
      <c r="I13" s="11" t="s">
        <v>6</v>
      </c>
      <c r="J13" s="34">
        <v>25</v>
      </c>
      <c r="K13" s="33">
        <v>25</v>
      </c>
      <c r="L13" s="11" t="s">
        <v>6</v>
      </c>
      <c r="M13" s="34">
        <v>19</v>
      </c>
      <c r="N13" s="33">
        <v>25</v>
      </c>
      <c r="O13" s="11" t="s">
        <v>6</v>
      </c>
      <c r="P13" s="34">
        <v>16</v>
      </c>
      <c r="Q13" s="33">
        <v>10</v>
      </c>
      <c r="R13" s="11" t="s">
        <v>6</v>
      </c>
      <c r="S13" s="34">
        <v>25</v>
      </c>
      <c r="T13" s="33">
        <v>17</v>
      </c>
      <c r="U13" s="11" t="s">
        <v>6</v>
      </c>
      <c r="V13" s="34">
        <v>15</v>
      </c>
      <c r="W13" s="12">
        <f t="shared" si="0"/>
        <v>89</v>
      </c>
      <c r="X13" s="13" t="s">
        <v>6</v>
      </c>
      <c r="Y13" s="14">
        <f t="shared" si="1"/>
        <v>100</v>
      </c>
      <c r="AA13" s="4">
        <f t="shared" si="2"/>
        <v>5</v>
      </c>
      <c r="AB13" s="4" t="str">
        <f t="shared" si="3"/>
        <v>Bulgária</v>
      </c>
      <c r="AC13" s="4">
        <f t="shared" si="4"/>
        <v>1</v>
      </c>
      <c r="AD13" s="4">
        <f t="shared" si="5"/>
        <v>3</v>
      </c>
      <c r="AE13" s="4">
        <f t="shared" si="6"/>
        <v>2</v>
      </c>
      <c r="AF13" s="4">
        <f t="shared" si="7"/>
        <v>0</v>
      </c>
      <c r="AG13" s="4">
        <f t="shared" si="8"/>
        <v>0</v>
      </c>
      <c r="AH13" s="4">
        <f t="shared" si="9"/>
        <v>1</v>
      </c>
      <c r="AI13" s="4">
        <f t="shared" si="10"/>
        <v>89</v>
      </c>
      <c r="AJ13" s="4">
        <f t="shared" si="11"/>
        <v>100</v>
      </c>
      <c r="AL13" s="4" t="str">
        <f t="shared" si="12"/>
        <v>Sérvia</v>
      </c>
      <c r="AM13" s="4">
        <f t="shared" si="13"/>
        <v>1</v>
      </c>
      <c r="AN13" s="4">
        <f t="shared" si="14"/>
        <v>2</v>
      </c>
      <c r="AO13" s="4">
        <f t="shared" si="15"/>
        <v>3</v>
      </c>
      <c r="AP13" s="4">
        <f t="shared" si="16"/>
        <v>1</v>
      </c>
      <c r="AQ13" s="4">
        <f t="shared" si="17"/>
        <v>0</v>
      </c>
      <c r="AR13" s="4">
        <f t="shared" si="18"/>
        <v>0</v>
      </c>
      <c r="AS13" s="4">
        <f t="shared" si="19"/>
        <v>100</v>
      </c>
      <c r="AT13" s="4">
        <f t="shared" si="20"/>
        <v>89</v>
      </c>
      <c r="AU13" s="31">
        <v>10</v>
      </c>
      <c r="AV13" s="30" t="str">
        <f>VLOOKUP($AU13,Dummy!$A:$R,2,FALSE)</f>
        <v>França</v>
      </c>
      <c r="AW13" s="28">
        <f>VLOOKUP($AU13,Dummy!$A:$R,3,FALSE)</f>
        <v>10</v>
      </c>
      <c r="AX13" s="28">
        <f>VLOOKUP($AU13,Dummy!$A:$R,4,FALSE)</f>
        <v>8</v>
      </c>
      <c r="AY13" s="28">
        <f>VLOOKUP($AU13,Dummy!$A:$R,5,FALSE)</f>
        <v>3</v>
      </c>
      <c r="AZ13" s="28">
        <f>VLOOKUP($AU13,Dummy!$A:$R,6,FALSE)</f>
        <v>5</v>
      </c>
      <c r="BA13" s="28">
        <f>VLOOKUP($AU13,Dummy!$A:$R,7,FALSE)</f>
        <v>1</v>
      </c>
      <c r="BB13" s="28">
        <f>VLOOKUP($AU13,Dummy!$A:$R,8,FALSE)</f>
        <v>1</v>
      </c>
      <c r="BC13" s="28">
        <f>VLOOKUP($AU13,Dummy!$A:$R,9,FALSE)</f>
        <v>1</v>
      </c>
      <c r="BD13" s="28">
        <f>VLOOKUP($AU13,Dummy!$A:$R,10,FALSE)</f>
        <v>2</v>
      </c>
      <c r="BE13" s="28">
        <f>VLOOKUP($AU13,Dummy!$A:$R,11,FALSE)</f>
        <v>2</v>
      </c>
      <c r="BF13" s="28">
        <f>VLOOKUP($AU13,Dummy!$A:$R,12,FALSE)</f>
        <v>1</v>
      </c>
      <c r="BG13" s="28">
        <f>VLOOKUP($AU13,Dummy!$A:$R,13,FALSE)</f>
        <v>15</v>
      </c>
      <c r="BH13" s="28">
        <f>VLOOKUP($AU13,Dummy!$A:$R,14,FALSE)</f>
        <v>18</v>
      </c>
      <c r="BI13" s="29">
        <f>VLOOKUP($AU13,Dummy!$A:$R,15,FALSE)</f>
        <v>833.33333333333337</v>
      </c>
      <c r="BJ13" s="28">
        <f>VLOOKUP($AU13,Dummy!$A:$R,16,FALSE)</f>
        <v>678</v>
      </c>
      <c r="BK13" s="28">
        <f>VLOOKUP($AU13,Dummy!$A:$R,17,FALSE)</f>
        <v>719</v>
      </c>
      <c r="BL13" s="29">
        <f>VLOOKUP($AU13,Dummy!$A:$R,18,FALSE)</f>
        <v>942.97635605006963</v>
      </c>
    </row>
    <row r="14" spans="2:64" x14ac:dyDescent="0.25">
      <c r="B14" s="17">
        <v>45816</v>
      </c>
      <c r="C14" s="25" t="s">
        <v>56</v>
      </c>
      <c r="D14" s="33">
        <v>0</v>
      </c>
      <c r="E14" s="11" t="s">
        <v>6</v>
      </c>
      <c r="F14" s="34">
        <v>3</v>
      </c>
      <c r="G14" s="21" t="s">
        <v>29</v>
      </c>
      <c r="H14" s="33">
        <v>19</v>
      </c>
      <c r="I14" s="11" t="s">
        <v>6</v>
      </c>
      <c r="J14" s="34">
        <v>25</v>
      </c>
      <c r="K14" s="33">
        <v>21</v>
      </c>
      <c r="L14" s="11" t="s">
        <v>6</v>
      </c>
      <c r="M14" s="34">
        <v>25</v>
      </c>
      <c r="N14" s="33">
        <v>9</v>
      </c>
      <c r="O14" s="11" t="s">
        <v>6</v>
      </c>
      <c r="P14" s="34">
        <v>25</v>
      </c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49</v>
      </c>
      <c r="X14" s="13" t="s">
        <v>6</v>
      </c>
      <c r="Y14" s="14">
        <f t="shared" si="1"/>
        <v>75</v>
      </c>
      <c r="AA14" s="4">
        <f t="shared" si="2"/>
        <v>3</v>
      </c>
      <c r="AB14" s="4" t="str">
        <f t="shared" si="3"/>
        <v>Japão</v>
      </c>
      <c r="AC14" s="4">
        <f t="shared" si="4"/>
        <v>1</v>
      </c>
      <c r="AD14" s="4">
        <f t="shared" si="5"/>
        <v>3</v>
      </c>
      <c r="AE14" s="4">
        <f t="shared" si="6"/>
        <v>0</v>
      </c>
      <c r="AF14" s="4">
        <f t="shared" si="7"/>
        <v>1</v>
      </c>
      <c r="AG14" s="4">
        <f t="shared" si="8"/>
        <v>0</v>
      </c>
      <c r="AH14" s="4">
        <f t="shared" si="9"/>
        <v>0</v>
      </c>
      <c r="AI14" s="4">
        <f t="shared" si="10"/>
        <v>75</v>
      </c>
      <c r="AJ14" s="4">
        <f t="shared" si="11"/>
        <v>49</v>
      </c>
      <c r="AL14" s="4" t="str">
        <f t="shared" si="12"/>
        <v>República Dominicana</v>
      </c>
      <c r="AM14" s="4">
        <f t="shared" si="13"/>
        <v>1</v>
      </c>
      <c r="AN14" s="4">
        <f t="shared" si="14"/>
        <v>0</v>
      </c>
      <c r="AO14" s="4">
        <f t="shared" si="15"/>
        <v>3</v>
      </c>
      <c r="AP14" s="4">
        <f t="shared" si="16"/>
        <v>0</v>
      </c>
      <c r="AQ14" s="4">
        <f t="shared" si="17"/>
        <v>0</v>
      </c>
      <c r="AR14" s="4">
        <f t="shared" si="18"/>
        <v>1</v>
      </c>
      <c r="AS14" s="4">
        <f t="shared" si="19"/>
        <v>49</v>
      </c>
      <c r="AT14" s="4">
        <f t="shared" si="20"/>
        <v>75</v>
      </c>
      <c r="AU14" s="31">
        <v>11</v>
      </c>
      <c r="AV14" s="30" t="str">
        <f>VLOOKUP($AU14,Dummy!$A:$R,2,FALSE)</f>
        <v>Holanda</v>
      </c>
      <c r="AW14" s="28">
        <f>VLOOKUP($AU14,Dummy!$A:$R,3,FALSE)</f>
        <v>10</v>
      </c>
      <c r="AX14" s="28">
        <f>VLOOKUP($AU14,Dummy!$A:$R,4,FALSE)</f>
        <v>8</v>
      </c>
      <c r="AY14" s="28">
        <f>VLOOKUP($AU14,Dummy!$A:$R,5,FALSE)</f>
        <v>3</v>
      </c>
      <c r="AZ14" s="28">
        <f>VLOOKUP($AU14,Dummy!$A:$R,6,FALSE)</f>
        <v>5</v>
      </c>
      <c r="BA14" s="28">
        <f>VLOOKUP($AU14,Dummy!$A:$R,7,FALSE)</f>
        <v>1</v>
      </c>
      <c r="BB14" s="28">
        <f>VLOOKUP($AU14,Dummy!$A:$R,8,FALSE)</f>
        <v>1</v>
      </c>
      <c r="BC14" s="28">
        <f>VLOOKUP($AU14,Dummy!$A:$R,9,FALSE)</f>
        <v>1</v>
      </c>
      <c r="BD14" s="28">
        <f>VLOOKUP($AU14,Dummy!$A:$R,10,FALSE)</f>
        <v>2</v>
      </c>
      <c r="BE14" s="28">
        <f>VLOOKUP($AU14,Dummy!$A:$R,11,FALSE)</f>
        <v>0</v>
      </c>
      <c r="BF14" s="28">
        <f>VLOOKUP($AU14,Dummy!$A:$R,12,FALSE)</f>
        <v>3</v>
      </c>
      <c r="BG14" s="28">
        <f>VLOOKUP($AU14,Dummy!$A:$R,13,FALSE)</f>
        <v>13</v>
      </c>
      <c r="BH14" s="28">
        <f>VLOOKUP($AU14,Dummy!$A:$R,14,FALSE)</f>
        <v>18</v>
      </c>
      <c r="BI14" s="29">
        <f>VLOOKUP($AU14,Dummy!$A:$R,15,FALSE)</f>
        <v>722.22222222222217</v>
      </c>
      <c r="BJ14" s="28">
        <f>VLOOKUP($AU14,Dummy!$A:$R,16,FALSE)</f>
        <v>650</v>
      </c>
      <c r="BK14" s="28">
        <f>VLOOKUP($AU14,Dummy!$A:$R,17,FALSE)</f>
        <v>681</v>
      </c>
      <c r="BL14" s="29">
        <f>VLOOKUP($AU14,Dummy!$A:$R,18,FALSE)</f>
        <v>954.47870778267247</v>
      </c>
    </row>
    <row r="15" spans="2:64" x14ac:dyDescent="0.25">
      <c r="B15" s="17">
        <v>45816</v>
      </c>
      <c r="C15" s="25" t="s">
        <v>50</v>
      </c>
      <c r="D15" s="33">
        <v>0</v>
      </c>
      <c r="E15" s="11" t="s">
        <v>6</v>
      </c>
      <c r="F15" s="34">
        <v>3</v>
      </c>
      <c r="G15" s="21" t="s">
        <v>37</v>
      </c>
      <c r="H15" s="33">
        <v>21</v>
      </c>
      <c r="I15" s="11" t="s">
        <v>6</v>
      </c>
      <c r="J15" s="34">
        <v>25</v>
      </c>
      <c r="K15" s="33">
        <v>16</v>
      </c>
      <c r="L15" s="11" t="s">
        <v>6</v>
      </c>
      <c r="M15" s="34">
        <v>25</v>
      </c>
      <c r="N15" s="33">
        <v>23</v>
      </c>
      <c r="O15" s="11" t="s">
        <v>6</v>
      </c>
      <c r="P15" s="34">
        <v>25</v>
      </c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60</v>
      </c>
      <c r="X15" s="13" t="s">
        <v>6</v>
      </c>
      <c r="Y15" s="14">
        <f t="shared" si="1"/>
        <v>75</v>
      </c>
      <c r="AA15" s="4">
        <f t="shared" si="2"/>
        <v>3</v>
      </c>
      <c r="AB15" s="4" t="str">
        <f t="shared" si="3"/>
        <v>Holanda</v>
      </c>
      <c r="AC15" s="4">
        <f t="shared" si="4"/>
        <v>1</v>
      </c>
      <c r="AD15" s="4">
        <f t="shared" si="5"/>
        <v>3</v>
      </c>
      <c r="AE15" s="4">
        <f t="shared" si="6"/>
        <v>0</v>
      </c>
      <c r="AF15" s="4">
        <f t="shared" si="7"/>
        <v>1</v>
      </c>
      <c r="AG15" s="4">
        <f t="shared" si="8"/>
        <v>0</v>
      </c>
      <c r="AH15" s="4">
        <f t="shared" si="9"/>
        <v>0</v>
      </c>
      <c r="AI15" s="4">
        <f t="shared" si="10"/>
        <v>75</v>
      </c>
      <c r="AJ15" s="4">
        <f t="shared" si="11"/>
        <v>60</v>
      </c>
      <c r="AL15" s="4" t="str">
        <f t="shared" si="12"/>
        <v>Bulgária</v>
      </c>
      <c r="AM15" s="4">
        <f t="shared" si="13"/>
        <v>1</v>
      </c>
      <c r="AN15" s="4">
        <f t="shared" si="14"/>
        <v>0</v>
      </c>
      <c r="AO15" s="4">
        <f t="shared" si="15"/>
        <v>3</v>
      </c>
      <c r="AP15" s="4">
        <f t="shared" si="16"/>
        <v>0</v>
      </c>
      <c r="AQ15" s="4">
        <f t="shared" si="17"/>
        <v>0</v>
      </c>
      <c r="AR15" s="4">
        <f t="shared" si="18"/>
        <v>1</v>
      </c>
      <c r="AS15" s="4">
        <f t="shared" si="19"/>
        <v>60</v>
      </c>
      <c r="AT15" s="4">
        <f t="shared" si="20"/>
        <v>75</v>
      </c>
      <c r="AU15" s="31">
        <v>12</v>
      </c>
      <c r="AV15" s="30" t="str">
        <f>VLOOKUP($AU15,Dummy!$A:$R,2,FALSE)</f>
        <v>Bulgária</v>
      </c>
      <c r="AW15" s="28">
        <f>VLOOKUP($AU15,Dummy!$A:$R,3,FALSE)</f>
        <v>9</v>
      </c>
      <c r="AX15" s="28">
        <f>VLOOKUP($AU15,Dummy!$A:$R,4,FALSE)</f>
        <v>8</v>
      </c>
      <c r="AY15" s="28">
        <f>VLOOKUP($AU15,Dummy!$A:$R,5,FALSE)</f>
        <v>3</v>
      </c>
      <c r="AZ15" s="28">
        <f>VLOOKUP($AU15,Dummy!$A:$R,6,FALSE)</f>
        <v>5</v>
      </c>
      <c r="BA15" s="28">
        <f>VLOOKUP($AU15,Dummy!$A:$R,7,FALSE)</f>
        <v>0</v>
      </c>
      <c r="BB15" s="28">
        <f>VLOOKUP($AU15,Dummy!$A:$R,8,FALSE)</f>
        <v>1</v>
      </c>
      <c r="BC15" s="28">
        <f>VLOOKUP($AU15,Dummy!$A:$R,9,FALSE)</f>
        <v>2</v>
      </c>
      <c r="BD15" s="28">
        <f>VLOOKUP($AU15,Dummy!$A:$R,10,FALSE)</f>
        <v>2</v>
      </c>
      <c r="BE15" s="28">
        <f>VLOOKUP($AU15,Dummy!$A:$R,11,FALSE)</f>
        <v>1</v>
      </c>
      <c r="BF15" s="28">
        <f>VLOOKUP($AU15,Dummy!$A:$R,12,FALSE)</f>
        <v>2</v>
      </c>
      <c r="BG15" s="28">
        <f>VLOOKUP($AU15,Dummy!$A:$R,13,FALSE)</f>
        <v>14</v>
      </c>
      <c r="BH15" s="28">
        <f>VLOOKUP($AU15,Dummy!$A:$R,14,FALSE)</f>
        <v>20</v>
      </c>
      <c r="BI15" s="29">
        <f>VLOOKUP($AU15,Dummy!$A:$R,15,FALSE)</f>
        <v>700</v>
      </c>
      <c r="BJ15" s="28">
        <f>VLOOKUP($AU15,Dummy!$A:$R,16,FALSE)</f>
        <v>693</v>
      </c>
      <c r="BK15" s="28">
        <f>VLOOKUP($AU15,Dummy!$A:$R,17,FALSE)</f>
        <v>775</v>
      </c>
      <c r="BL15" s="29">
        <f>VLOOKUP($AU15,Dummy!$A:$R,18,FALSE)</f>
        <v>894.19354838709671</v>
      </c>
    </row>
    <row r="16" spans="2:64" x14ac:dyDescent="0.25">
      <c r="B16" s="17">
        <v>45816</v>
      </c>
      <c r="C16" s="25" t="s">
        <v>51</v>
      </c>
      <c r="D16" s="33">
        <v>3</v>
      </c>
      <c r="E16" s="11" t="s">
        <v>6</v>
      </c>
      <c r="F16" s="34">
        <v>2</v>
      </c>
      <c r="G16" s="21" t="s">
        <v>57</v>
      </c>
      <c r="H16" s="33">
        <v>20</v>
      </c>
      <c r="I16" s="11" t="s">
        <v>6</v>
      </c>
      <c r="J16" s="34">
        <v>25</v>
      </c>
      <c r="K16" s="33">
        <v>18</v>
      </c>
      <c r="L16" s="11" t="s">
        <v>6</v>
      </c>
      <c r="M16" s="34">
        <v>25</v>
      </c>
      <c r="N16" s="33">
        <v>25</v>
      </c>
      <c r="O16" s="11" t="s">
        <v>6</v>
      </c>
      <c r="P16" s="34">
        <v>20</v>
      </c>
      <c r="Q16" s="33">
        <v>25</v>
      </c>
      <c r="R16" s="11" t="s">
        <v>6</v>
      </c>
      <c r="S16" s="34">
        <v>18</v>
      </c>
      <c r="T16" s="33">
        <v>15</v>
      </c>
      <c r="U16" s="11" t="s">
        <v>6</v>
      </c>
      <c r="V16" s="34">
        <v>12</v>
      </c>
      <c r="W16" s="12">
        <f t="shared" si="0"/>
        <v>103</v>
      </c>
      <c r="X16" s="13" t="s">
        <v>6</v>
      </c>
      <c r="Y16" s="14">
        <f t="shared" si="1"/>
        <v>100</v>
      </c>
      <c r="AA16" s="4">
        <f t="shared" si="2"/>
        <v>5</v>
      </c>
      <c r="AB16" s="4" t="str">
        <f t="shared" si="3"/>
        <v>Canadá</v>
      </c>
      <c r="AC16" s="4">
        <f t="shared" si="4"/>
        <v>1</v>
      </c>
      <c r="AD16" s="4">
        <f t="shared" si="5"/>
        <v>3</v>
      </c>
      <c r="AE16" s="4">
        <f t="shared" si="6"/>
        <v>2</v>
      </c>
      <c r="AF16" s="4">
        <f t="shared" si="7"/>
        <v>0</v>
      </c>
      <c r="AG16" s="4">
        <f t="shared" si="8"/>
        <v>0</v>
      </c>
      <c r="AH16" s="4">
        <f t="shared" si="9"/>
        <v>1</v>
      </c>
      <c r="AI16" s="4">
        <f t="shared" si="10"/>
        <v>103</v>
      </c>
      <c r="AJ16" s="4">
        <f t="shared" si="11"/>
        <v>100</v>
      </c>
      <c r="AL16" s="4" t="str">
        <f t="shared" si="12"/>
        <v>Sérvia</v>
      </c>
      <c r="AM16" s="4">
        <f t="shared" si="13"/>
        <v>1</v>
      </c>
      <c r="AN16" s="4">
        <f t="shared" si="14"/>
        <v>2</v>
      </c>
      <c r="AO16" s="4">
        <f t="shared" si="15"/>
        <v>3</v>
      </c>
      <c r="AP16" s="4">
        <f t="shared" si="16"/>
        <v>1</v>
      </c>
      <c r="AQ16" s="4">
        <f t="shared" si="17"/>
        <v>0</v>
      </c>
      <c r="AR16" s="4">
        <f t="shared" si="18"/>
        <v>0</v>
      </c>
      <c r="AS16" s="4">
        <f t="shared" si="19"/>
        <v>100</v>
      </c>
      <c r="AT16" s="4">
        <f t="shared" si="20"/>
        <v>103</v>
      </c>
      <c r="AU16" s="31">
        <v>13</v>
      </c>
      <c r="AV16" s="30" t="str">
        <f>VLOOKUP($AU16,Dummy!$A:$R,2,FALSE)</f>
        <v>Bélgica</v>
      </c>
      <c r="AW16" s="28">
        <f>VLOOKUP($AU16,Dummy!$A:$R,3,FALSE)</f>
        <v>8</v>
      </c>
      <c r="AX16" s="28">
        <f>VLOOKUP($AU16,Dummy!$A:$R,4,FALSE)</f>
        <v>8</v>
      </c>
      <c r="AY16" s="28">
        <f>VLOOKUP($AU16,Dummy!$A:$R,5,FALSE)</f>
        <v>3</v>
      </c>
      <c r="AZ16" s="28">
        <f>VLOOKUP($AU16,Dummy!$A:$R,6,FALSE)</f>
        <v>5</v>
      </c>
      <c r="BA16" s="28">
        <f>VLOOKUP($AU16,Dummy!$A:$R,7,FALSE)</f>
        <v>0</v>
      </c>
      <c r="BB16" s="28">
        <f>VLOOKUP($AU16,Dummy!$A:$R,8,FALSE)</f>
        <v>2</v>
      </c>
      <c r="BC16" s="28">
        <f>VLOOKUP($AU16,Dummy!$A:$R,9,FALSE)</f>
        <v>1</v>
      </c>
      <c r="BD16" s="28">
        <f>VLOOKUP($AU16,Dummy!$A:$R,10,FALSE)</f>
        <v>0</v>
      </c>
      <c r="BE16" s="28">
        <f>VLOOKUP($AU16,Dummy!$A:$R,11,FALSE)</f>
        <v>2</v>
      </c>
      <c r="BF16" s="28">
        <f>VLOOKUP($AU16,Dummy!$A:$R,12,FALSE)</f>
        <v>3</v>
      </c>
      <c r="BG16" s="28">
        <f>VLOOKUP($AU16,Dummy!$A:$R,13,FALSE)</f>
        <v>11</v>
      </c>
      <c r="BH16" s="28">
        <f>VLOOKUP($AU16,Dummy!$A:$R,14,FALSE)</f>
        <v>19</v>
      </c>
      <c r="BI16" s="29">
        <f>VLOOKUP($AU16,Dummy!$A:$R,15,FALSE)</f>
        <v>578.9473684210526</v>
      </c>
      <c r="BJ16" s="28">
        <f>VLOOKUP($AU16,Dummy!$A:$R,16,FALSE)</f>
        <v>633</v>
      </c>
      <c r="BK16" s="28">
        <f>VLOOKUP($AU16,Dummy!$A:$R,17,FALSE)</f>
        <v>694</v>
      </c>
      <c r="BL16" s="29">
        <f>VLOOKUP($AU16,Dummy!$A:$R,18,FALSE)</f>
        <v>912.10374639769452</v>
      </c>
    </row>
    <row r="17" spans="2:64" ht="14.25" x14ac:dyDescent="0.25">
      <c r="B17" s="66" t="s">
        <v>11</v>
      </c>
      <c r="C17" s="66"/>
      <c r="D17" s="66"/>
      <c r="E17" s="69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AU17" s="31">
        <v>14</v>
      </c>
      <c r="AV17" s="30" t="str">
        <f>VLOOKUP($AU17,Dummy!$A:$R,2,FALSE)</f>
        <v>Canadá</v>
      </c>
      <c r="AW17" s="28">
        <f>VLOOKUP($AU17,Dummy!$A:$R,3,FALSE)</f>
        <v>6</v>
      </c>
      <c r="AX17" s="28">
        <f>VLOOKUP($AU17,Dummy!$A:$R,4,FALSE)</f>
        <v>8</v>
      </c>
      <c r="AY17" s="28">
        <f>VLOOKUP($AU17,Dummy!$A:$R,5,FALSE)</f>
        <v>2</v>
      </c>
      <c r="AZ17" s="28">
        <f>VLOOKUP($AU17,Dummy!$A:$R,6,FALSE)</f>
        <v>6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2</v>
      </c>
      <c r="BD17" s="28">
        <f>VLOOKUP($AU17,Dummy!$A:$R,10,FALSE)</f>
        <v>2</v>
      </c>
      <c r="BE17" s="28">
        <f>VLOOKUP($AU17,Dummy!$A:$R,11,FALSE)</f>
        <v>1</v>
      </c>
      <c r="BF17" s="28">
        <f>VLOOKUP($AU17,Dummy!$A:$R,12,FALSE)</f>
        <v>3</v>
      </c>
      <c r="BG17" s="28">
        <f>VLOOKUP($AU17,Dummy!$A:$R,13,FALSE)</f>
        <v>11</v>
      </c>
      <c r="BH17" s="28">
        <f>VLOOKUP($AU17,Dummy!$A:$R,14,FALSE)</f>
        <v>22</v>
      </c>
      <c r="BI17" s="29">
        <f>VLOOKUP($AU17,Dummy!$A:$R,15,FALSE)</f>
        <v>500</v>
      </c>
      <c r="BJ17" s="28">
        <f>VLOOKUP($AU17,Dummy!$A:$R,16,FALSE)</f>
        <v>685</v>
      </c>
      <c r="BK17" s="28">
        <f>VLOOKUP($AU17,Dummy!$A:$R,17,FALSE)</f>
        <v>721</v>
      </c>
      <c r="BL17" s="29">
        <f>VLOOKUP($AU17,Dummy!$A:$R,18,FALSE)</f>
        <v>950.06934812760062</v>
      </c>
    </row>
    <row r="18" spans="2:64" x14ac:dyDescent="0.25">
      <c r="B18" s="16" t="s">
        <v>2</v>
      </c>
      <c r="C18" s="24"/>
      <c r="D18" s="68" t="s">
        <v>3</v>
      </c>
      <c r="E18" s="68"/>
      <c r="F18" s="68"/>
      <c r="G18" s="20"/>
      <c r="H18" s="68" t="s">
        <v>4</v>
      </c>
      <c r="I18" s="68"/>
      <c r="J18" s="68"/>
      <c r="K18" s="68" t="s">
        <v>5</v>
      </c>
      <c r="L18" s="68"/>
      <c r="M18" s="68"/>
      <c r="N18" s="68" t="s">
        <v>7</v>
      </c>
      <c r="O18" s="68"/>
      <c r="P18" s="68"/>
      <c r="Q18" s="68" t="s">
        <v>8</v>
      </c>
      <c r="R18" s="68"/>
      <c r="S18" s="68"/>
      <c r="T18" s="68" t="s">
        <v>9</v>
      </c>
      <c r="U18" s="68"/>
      <c r="V18" s="68"/>
      <c r="W18" s="68" t="s">
        <v>10</v>
      </c>
      <c r="X18" s="68"/>
      <c r="Y18" s="68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República Tcheca</v>
      </c>
      <c r="AW18" s="28">
        <f>VLOOKUP($AU18,Dummy!$A:$R,3,FALSE)</f>
        <v>4</v>
      </c>
      <c r="AX18" s="28">
        <f>VLOOKUP($AU18,Dummy!$A:$R,4,FALSE)</f>
        <v>4</v>
      </c>
      <c r="AY18" s="28">
        <f>VLOOKUP($AU18,Dummy!$A:$R,5,FALSE)</f>
        <v>2</v>
      </c>
      <c r="AZ18" s="28">
        <f>VLOOKUP($AU18,Dummy!$A:$R,6,FALSE)</f>
        <v>2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2</v>
      </c>
      <c r="BD18" s="28">
        <f>VLOOKUP($AU18,Dummy!$A:$R,10,FALSE)</f>
        <v>0</v>
      </c>
      <c r="BE18" s="28">
        <f>VLOOKUP($AU18,Dummy!$A:$R,11,FALSE)</f>
        <v>1</v>
      </c>
      <c r="BF18" s="28">
        <f>VLOOKUP($AU18,Dummy!$A:$R,12,FALSE)</f>
        <v>1</v>
      </c>
      <c r="BG18" s="28">
        <f>VLOOKUP($AU18,Dummy!$A:$R,13,FALSE)</f>
        <v>7</v>
      </c>
      <c r="BH18" s="28">
        <f>VLOOKUP($AU18,Dummy!$A:$R,14,FALSE)</f>
        <v>10</v>
      </c>
      <c r="BI18" s="29">
        <f>VLOOKUP($AU18,Dummy!$A:$R,15,FALSE)</f>
        <v>700</v>
      </c>
      <c r="BJ18" s="28">
        <f>VLOOKUP($AU18,Dummy!$A:$R,16,FALSE)</f>
        <v>369</v>
      </c>
      <c r="BK18" s="28">
        <f>VLOOKUP($AU18,Dummy!$A:$R,17,FALSE)</f>
        <v>369</v>
      </c>
      <c r="BL18" s="29">
        <f>VLOOKUP($AU18,Dummy!$A:$R,18,FALSE)</f>
        <v>1000</v>
      </c>
    </row>
    <row r="19" spans="2:64" x14ac:dyDescent="0.25">
      <c r="B19" s="18">
        <v>45812</v>
      </c>
      <c r="C19" s="26" t="s">
        <v>55</v>
      </c>
      <c r="D19" s="33">
        <v>0</v>
      </c>
      <c r="E19" s="11" t="s">
        <v>6</v>
      </c>
      <c r="F19" s="34">
        <v>3</v>
      </c>
      <c r="G19" s="22" t="s">
        <v>39</v>
      </c>
      <c r="H19" s="33">
        <v>13</v>
      </c>
      <c r="I19" s="11" t="s">
        <v>6</v>
      </c>
      <c r="J19" s="34">
        <v>25</v>
      </c>
      <c r="K19" s="33">
        <v>13</v>
      </c>
      <c r="L19" s="11" t="s">
        <v>6</v>
      </c>
      <c r="M19" s="34">
        <v>25</v>
      </c>
      <c r="N19" s="33">
        <v>28</v>
      </c>
      <c r="O19" s="11" t="s">
        <v>6</v>
      </c>
      <c r="P19" s="34">
        <v>30</v>
      </c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54</v>
      </c>
      <c r="X19" s="11" t="s">
        <v>6</v>
      </c>
      <c r="Y19" s="10">
        <f>SUM(J19,M19,P19,S19,V19)</f>
        <v>80</v>
      </c>
      <c r="AA19" s="4">
        <f t="shared" ref="AA19:AA44" si="21">AD19+AE19</f>
        <v>3</v>
      </c>
      <c r="AB19" s="4" t="str">
        <f t="shared" ref="AB19:AB30" si="22">IF(OR(D19="",F19=""),0,IF(D19&gt;F19,C19,G19))</f>
        <v>Itália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0</v>
      </c>
      <c r="AF19" s="4">
        <f t="shared" ref="AF19:AF30" si="26">IF(AND(AD19=3,AE19=0),1,0)</f>
        <v>1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80</v>
      </c>
      <c r="AJ19" s="4">
        <f t="shared" ref="AJ19:AJ30" si="30">IF(D19&gt;F19,SUM(J19,M19,P19,S19,V19),SUM(H19,K19,N19,Q19,T19))</f>
        <v>54</v>
      </c>
      <c r="AL19" s="4" t="str">
        <f t="shared" ref="AL19:AL30" si="31">IF(OR(D19="",F19=""),0,IF(D19&lt;F19,C19,G19))</f>
        <v>Estados Unidos</v>
      </c>
      <c r="AM19" s="4">
        <f t="shared" ref="AM19:AM30" si="32">IF(OR(D19="",F19=""),0,1)</f>
        <v>1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1</v>
      </c>
      <c r="AS19" s="4">
        <f t="shared" ref="AS19:AS30" si="38">IF(D19&lt;F19,SUM(H19,K19,N19,Q19,T19,),SUM(J19,M19,P19,S19,V19))</f>
        <v>54</v>
      </c>
      <c r="AT19" s="4">
        <f t="shared" ref="AT19:AT30" si="39">IF(D19&lt;F19,SUM(J19,M19,P19,S19,V19),SUM(H19,K19,N19,Q19,T19))</f>
        <v>80</v>
      </c>
      <c r="AU19" s="31">
        <v>16</v>
      </c>
      <c r="AV19" s="30" t="str">
        <f>VLOOKUP($AU19,Dummy!$A:$R,2,FALSE)</f>
        <v>Tailândia</v>
      </c>
      <c r="AW19" s="28">
        <f>VLOOKUP($AU19,Dummy!$A:$R,3,FALSE)</f>
        <v>5</v>
      </c>
      <c r="AX19" s="28">
        <f>VLOOKUP($AU19,Dummy!$A:$R,4,FALSE)</f>
        <v>8</v>
      </c>
      <c r="AY19" s="28">
        <f>VLOOKUP($AU19,Dummy!$A:$R,5,FALSE)</f>
        <v>1</v>
      </c>
      <c r="AZ19" s="28">
        <f>VLOOKUP($AU19,Dummy!$A:$R,6,FALSE)</f>
        <v>7</v>
      </c>
      <c r="BA19" s="28">
        <f>VLOOKUP($AU19,Dummy!$A:$R,7,FALSE)</f>
        <v>0</v>
      </c>
      <c r="BB19" s="28">
        <f>VLOOKUP($AU19,Dummy!$A:$R,8,FALSE)</f>
        <v>1</v>
      </c>
      <c r="BC19" s="28">
        <f>VLOOKUP($AU19,Dummy!$A:$R,9,FALSE)</f>
        <v>0</v>
      </c>
      <c r="BD19" s="28">
        <f>VLOOKUP($AU19,Dummy!$A:$R,10,FALSE)</f>
        <v>2</v>
      </c>
      <c r="BE19" s="28">
        <f>VLOOKUP($AU19,Dummy!$A:$R,11,FALSE)</f>
        <v>1</v>
      </c>
      <c r="BF19" s="28">
        <f>VLOOKUP($AU19,Dummy!$A:$R,12,FALSE)</f>
        <v>4</v>
      </c>
      <c r="BG19" s="28">
        <f>VLOOKUP($AU19,Dummy!$A:$R,13,FALSE)</f>
        <v>8</v>
      </c>
      <c r="BH19" s="28">
        <f>VLOOKUP($AU19,Dummy!$A:$R,14,FALSE)</f>
        <v>22</v>
      </c>
      <c r="BI19" s="29">
        <f>VLOOKUP($AU19,Dummy!$A:$R,15,FALSE)</f>
        <v>363.63636363636363</v>
      </c>
      <c r="BJ19" s="28">
        <f>VLOOKUP($AU19,Dummy!$A:$R,16,FALSE)</f>
        <v>627</v>
      </c>
      <c r="BK19" s="28">
        <f>VLOOKUP($AU19,Dummy!$A:$R,17,FALSE)</f>
        <v>697</v>
      </c>
      <c r="BL19" s="29">
        <f>VLOOKUP($AU19,Dummy!$A:$R,18,FALSE)</f>
        <v>899.56958393113337</v>
      </c>
    </row>
    <row r="20" spans="2:64" x14ac:dyDescent="0.25">
      <c r="B20" s="18">
        <v>45812</v>
      </c>
      <c r="C20" s="26" t="s">
        <v>59</v>
      </c>
      <c r="D20" s="38">
        <v>0</v>
      </c>
      <c r="E20" s="11" t="s">
        <v>6</v>
      </c>
      <c r="F20" s="37">
        <v>3</v>
      </c>
      <c r="G20" s="22" t="s">
        <v>49</v>
      </c>
      <c r="H20" s="33">
        <v>21</v>
      </c>
      <c r="I20" s="11" t="s">
        <v>6</v>
      </c>
      <c r="J20" s="34">
        <v>25</v>
      </c>
      <c r="K20" s="33">
        <v>20</v>
      </c>
      <c r="L20" s="11" t="s">
        <v>6</v>
      </c>
      <c r="M20" s="34">
        <v>25</v>
      </c>
      <c r="N20" s="33">
        <v>17</v>
      </c>
      <c r="O20" s="11" t="s">
        <v>6</v>
      </c>
      <c r="P20" s="34">
        <v>25</v>
      </c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58</v>
      </c>
      <c r="X20" s="11" t="s">
        <v>6</v>
      </c>
      <c r="Y20" s="10">
        <f t="shared" ref="Y20:Y30" si="41">SUM(J20,M20,P20,S20,V20)</f>
        <v>75</v>
      </c>
      <c r="AA20" s="4">
        <f t="shared" si="21"/>
        <v>3</v>
      </c>
      <c r="AB20" s="4" t="str">
        <f t="shared" si="22"/>
        <v>Brasil</v>
      </c>
      <c r="AC20" s="4">
        <f t="shared" si="23"/>
        <v>1</v>
      </c>
      <c r="AD20" s="4">
        <f t="shared" si="24"/>
        <v>3</v>
      </c>
      <c r="AE20" s="4">
        <f t="shared" si="25"/>
        <v>0</v>
      </c>
      <c r="AF20" s="4">
        <f t="shared" si="26"/>
        <v>1</v>
      </c>
      <c r="AG20" s="4">
        <f t="shared" si="27"/>
        <v>0</v>
      </c>
      <c r="AH20" s="4">
        <f t="shared" si="28"/>
        <v>0</v>
      </c>
      <c r="AI20" s="4">
        <f t="shared" si="29"/>
        <v>75</v>
      </c>
      <c r="AJ20" s="4">
        <f t="shared" si="30"/>
        <v>58</v>
      </c>
      <c r="AL20" s="4" t="str">
        <f t="shared" si="31"/>
        <v>República Tcheca</v>
      </c>
      <c r="AM20" s="4">
        <f t="shared" si="32"/>
        <v>1</v>
      </c>
      <c r="AN20" s="4">
        <f t="shared" si="33"/>
        <v>0</v>
      </c>
      <c r="AO20" s="4">
        <f t="shared" si="34"/>
        <v>3</v>
      </c>
      <c r="AP20" s="4">
        <f t="shared" si="35"/>
        <v>0</v>
      </c>
      <c r="AQ20" s="4">
        <f t="shared" si="36"/>
        <v>0</v>
      </c>
      <c r="AR20" s="4">
        <f t="shared" si="37"/>
        <v>1</v>
      </c>
      <c r="AS20" s="4">
        <f t="shared" si="38"/>
        <v>58</v>
      </c>
      <c r="AT20" s="4">
        <f t="shared" si="39"/>
        <v>75</v>
      </c>
      <c r="AU20" s="31">
        <v>17</v>
      </c>
      <c r="AV20" s="30" t="str">
        <f>VLOOKUP($AU20,Dummy!$A:$R,2,FALSE)</f>
        <v>Coreia do Sul</v>
      </c>
      <c r="AW20" s="28">
        <f>VLOOKUP($AU20,Dummy!$A:$R,3,FALSE)</f>
        <v>4</v>
      </c>
      <c r="AX20" s="28">
        <f>VLOOKUP($AU20,Dummy!$A:$R,4,FALSE)</f>
        <v>8</v>
      </c>
      <c r="AY20" s="28">
        <f>VLOOKUP($AU20,Dummy!$A:$R,5,FALSE)</f>
        <v>1</v>
      </c>
      <c r="AZ20" s="28">
        <f>VLOOKUP($AU20,Dummy!$A:$R,6,FALSE)</f>
        <v>7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1</v>
      </c>
      <c r="BD20" s="28">
        <f>VLOOKUP($AU20,Dummy!$A:$R,10,FALSE)</f>
        <v>2</v>
      </c>
      <c r="BE20" s="28">
        <f>VLOOKUP($AU20,Dummy!$A:$R,11,FALSE)</f>
        <v>1</v>
      </c>
      <c r="BF20" s="28">
        <f>VLOOKUP($AU20,Dummy!$A:$R,12,FALSE)</f>
        <v>4</v>
      </c>
      <c r="BG20" s="28">
        <f>VLOOKUP($AU20,Dummy!$A:$R,13,FALSE)</f>
        <v>8</v>
      </c>
      <c r="BH20" s="28">
        <f>VLOOKUP($AU20,Dummy!$A:$R,14,FALSE)</f>
        <v>23</v>
      </c>
      <c r="BI20" s="29">
        <f>VLOOKUP($AU20,Dummy!$A:$R,15,FALSE)</f>
        <v>347.82608695652175</v>
      </c>
      <c r="BJ20" s="28">
        <f>VLOOKUP($AU20,Dummy!$A:$R,16,FALSE)</f>
        <v>563</v>
      </c>
      <c r="BK20" s="28">
        <f>VLOOKUP($AU20,Dummy!$A:$R,17,FALSE)</f>
        <v>717</v>
      </c>
      <c r="BL20" s="29">
        <f>VLOOKUP($AU20,Dummy!$A:$R,18,FALSE)</f>
        <v>785.21617852161785</v>
      </c>
    </row>
    <row r="21" spans="2:64" x14ac:dyDescent="0.25">
      <c r="B21" s="18">
        <v>45812</v>
      </c>
      <c r="C21" s="26" t="s">
        <v>54</v>
      </c>
      <c r="D21" s="33">
        <v>0</v>
      </c>
      <c r="E21" s="11" t="s">
        <v>6</v>
      </c>
      <c r="F21" s="34">
        <v>3</v>
      </c>
      <c r="G21" s="22" t="s">
        <v>42</v>
      </c>
      <c r="H21" s="33">
        <v>17</v>
      </c>
      <c r="I21" s="11" t="s">
        <v>6</v>
      </c>
      <c r="J21" s="34">
        <v>25</v>
      </c>
      <c r="K21" s="33">
        <v>15</v>
      </c>
      <c r="L21" s="11" t="s">
        <v>6</v>
      </c>
      <c r="M21" s="34">
        <v>25</v>
      </c>
      <c r="N21" s="33">
        <v>21</v>
      </c>
      <c r="O21" s="11" t="s">
        <v>6</v>
      </c>
      <c r="P21" s="34">
        <v>25</v>
      </c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53</v>
      </c>
      <c r="X21" s="11" t="s">
        <v>6</v>
      </c>
      <c r="Y21" s="10">
        <f t="shared" si="41"/>
        <v>75</v>
      </c>
      <c r="AA21" s="4">
        <f t="shared" si="21"/>
        <v>3</v>
      </c>
      <c r="AB21" s="4" t="str">
        <f t="shared" si="22"/>
        <v>Alemanha</v>
      </c>
      <c r="AC21" s="4">
        <f t="shared" si="23"/>
        <v>1</v>
      </c>
      <c r="AD21" s="4">
        <f t="shared" si="24"/>
        <v>3</v>
      </c>
      <c r="AE21" s="4">
        <f t="shared" si="25"/>
        <v>0</v>
      </c>
      <c r="AF21" s="4">
        <f t="shared" si="26"/>
        <v>1</v>
      </c>
      <c r="AG21" s="4">
        <f t="shared" si="27"/>
        <v>0</v>
      </c>
      <c r="AH21" s="4">
        <f t="shared" si="28"/>
        <v>0</v>
      </c>
      <c r="AI21" s="4">
        <f t="shared" si="29"/>
        <v>75</v>
      </c>
      <c r="AJ21" s="4">
        <f t="shared" si="30"/>
        <v>53</v>
      </c>
      <c r="AL21" s="4" t="str">
        <f t="shared" si="31"/>
        <v>Coreia do Sul</v>
      </c>
      <c r="AM21" s="4">
        <f t="shared" si="32"/>
        <v>1</v>
      </c>
      <c r="AN21" s="4">
        <f t="shared" si="33"/>
        <v>0</v>
      </c>
      <c r="AO21" s="4">
        <f t="shared" si="34"/>
        <v>3</v>
      </c>
      <c r="AP21" s="4">
        <f t="shared" si="35"/>
        <v>0</v>
      </c>
      <c r="AQ21" s="4">
        <f t="shared" si="36"/>
        <v>0</v>
      </c>
      <c r="AR21" s="4">
        <f t="shared" si="37"/>
        <v>1</v>
      </c>
      <c r="AS21" s="4">
        <f t="shared" si="38"/>
        <v>53</v>
      </c>
      <c r="AT21" s="4">
        <f t="shared" si="39"/>
        <v>75</v>
      </c>
      <c r="AU21" s="31">
        <v>18</v>
      </c>
      <c r="AV21" s="30" t="str">
        <f>VLOOKUP($AU21,Dummy!$A:$R,2,FALSE)</f>
        <v>Sérvia</v>
      </c>
      <c r="AW21" s="28">
        <f>VLOOKUP($AU21,Dummy!$A:$R,3,FALSE)</f>
        <v>5</v>
      </c>
      <c r="AX21" s="28">
        <f>VLOOKUP($AU21,Dummy!$A:$R,4,FALSE)</f>
        <v>8</v>
      </c>
      <c r="AY21" s="28">
        <f>VLOOKUP($AU21,Dummy!$A:$R,5,FALSE)</f>
        <v>0</v>
      </c>
      <c r="AZ21" s="28">
        <f>VLOOKUP($AU21,Dummy!$A:$R,6,FALSE)</f>
        <v>8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5</v>
      </c>
      <c r="BE21" s="28">
        <f>VLOOKUP($AU21,Dummy!$A:$R,11,FALSE)</f>
        <v>2</v>
      </c>
      <c r="BF21" s="28">
        <f>VLOOKUP($AU21,Dummy!$A:$R,12,FALSE)</f>
        <v>1</v>
      </c>
      <c r="BG21" s="28">
        <f>VLOOKUP($AU21,Dummy!$A:$R,13,FALSE)</f>
        <v>12</v>
      </c>
      <c r="BH21" s="28">
        <f>VLOOKUP($AU21,Dummy!$A:$R,14,FALSE)</f>
        <v>24</v>
      </c>
      <c r="BI21" s="29">
        <f>VLOOKUP($AU21,Dummy!$A:$R,15,FALSE)</f>
        <v>500</v>
      </c>
      <c r="BJ21" s="28">
        <f>VLOOKUP($AU21,Dummy!$A:$R,16,FALSE)</f>
        <v>731</v>
      </c>
      <c r="BK21" s="28">
        <f>VLOOKUP($AU21,Dummy!$A:$R,17,FALSE)</f>
        <v>786</v>
      </c>
      <c r="BL21" s="29">
        <f>VLOOKUP($AU21,Dummy!$A:$R,18,FALSE)</f>
        <v>930.02544529262093</v>
      </c>
    </row>
    <row r="22" spans="2:64" x14ac:dyDescent="0.25">
      <c r="B22" s="18">
        <v>45813</v>
      </c>
      <c r="C22" s="26" t="s">
        <v>42</v>
      </c>
      <c r="D22" s="33">
        <v>2</v>
      </c>
      <c r="E22" s="11" t="s">
        <v>6</v>
      </c>
      <c r="F22" s="34">
        <v>3</v>
      </c>
      <c r="G22" s="22" t="s">
        <v>39</v>
      </c>
      <c r="H22" s="33">
        <v>25</v>
      </c>
      <c r="I22" s="11" t="s">
        <v>6</v>
      </c>
      <c r="J22" s="34">
        <v>22</v>
      </c>
      <c r="K22" s="33">
        <v>10</v>
      </c>
      <c r="L22" s="11" t="s">
        <v>6</v>
      </c>
      <c r="M22" s="34">
        <v>25</v>
      </c>
      <c r="N22" s="33">
        <v>25</v>
      </c>
      <c r="O22" s="11" t="s">
        <v>6</v>
      </c>
      <c r="P22" s="34">
        <v>20</v>
      </c>
      <c r="Q22" s="33">
        <v>13</v>
      </c>
      <c r="R22" s="11" t="s">
        <v>6</v>
      </c>
      <c r="S22" s="34">
        <v>25</v>
      </c>
      <c r="T22" s="33">
        <v>9</v>
      </c>
      <c r="U22" s="11" t="s">
        <v>6</v>
      </c>
      <c r="V22" s="34">
        <v>15</v>
      </c>
      <c r="W22" s="9">
        <f t="shared" si="40"/>
        <v>82</v>
      </c>
      <c r="X22" s="11" t="s">
        <v>6</v>
      </c>
      <c r="Y22" s="10">
        <f t="shared" si="41"/>
        <v>107</v>
      </c>
      <c r="AA22" s="4">
        <f t="shared" si="21"/>
        <v>5</v>
      </c>
      <c r="AB22" s="4" t="str">
        <f t="shared" si="22"/>
        <v>Itália</v>
      </c>
      <c r="AC22" s="4">
        <f t="shared" si="23"/>
        <v>1</v>
      </c>
      <c r="AD22" s="4">
        <f t="shared" si="24"/>
        <v>3</v>
      </c>
      <c r="AE22" s="4">
        <f t="shared" si="25"/>
        <v>2</v>
      </c>
      <c r="AF22" s="4">
        <f t="shared" si="26"/>
        <v>0</v>
      </c>
      <c r="AG22" s="4">
        <f t="shared" si="27"/>
        <v>0</v>
      </c>
      <c r="AH22" s="4">
        <f t="shared" si="28"/>
        <v>1</v>
      </c>
      <c r="AI22" s="4">
        <f t="shared" si="29"/>
        <v>107</v>
      </c>
      <c r="AJ22" s="4">
        <f t="shared" si="30"/>
        <v>82</v>
      </c>
      <c r="AL22" s="4" t="str">
        <f t="shared" si="31"/>
        <v>Alemanha</v>
      </c>
      <c r="AM22" s="4">
        <f t="shared" si="32"/>
        <v>1</v>
      </c>
      <c r="AN22" s="4">
        <f t="shared" si="33"/>
        <v>2</v>
      </c>
      <c r="AO22" s="4">
        <f t="shared" si="34"/>
        <v>3</v>
      </c>
      <c r="AP22" s="4">
        <f t="shared" si="35"/>
        <v>1</v>
      </c>
      <c r="AQ22" s="4">
        <f t="shared" si="36"/>
        <v>0</v>
      </c>
      <c r="AR22" s="4">
        <f t="shared" si="37"/>
        <v>0</v>
      </c>
      <c r="AS22" s="4">
        <f t="shared" si="38"/>
        <v>82</v>
      </c>
      <c r="AT22" s="4">
        <f t="shared" si="39"/>
        <v>107</v>
      </c>
      <c r="AX22" s="53">
        <f>SUM(AX4:AX21)</f>
        <v>140</v>
      </c>
    </row>
    <row r="23" spans="2:64" x14ac:dyDescent="0.25">
      <c r="B23" s="18">
        <v>45813</v>
      </c>
      <c r="C23" s="26" t="s">
        <v>55</v>
      </c>
      <c r="D23" s="33">
        <v>0</v>
      </c>
      <c r="E23" s="11" t="s">
        <v>6</v>
      </c>
      <c r="F23" s="34">
        <v>3</v>
      </c>
      <c r="G23" s="22" t="s">
        <v>49</v>
      </c>
      <c r="H23" s="33">
        <v>18</v>
      </c>
      <c r="I23" s="11" t="s">
        <v>6</v>
      </c>
      <c r="J23" s="34">
        <v>25</v>
      </c>
      <c r="K23" s="33">
        <v>17</v>
      </c>
      <c r="L23" s="11" t="s">
        <v>6</v>
      </c>
      <c r="M23" s="34">
        <v>25</v>
      </c>
      <c r="N23" s="33">
        <v>19</v>
      </c>
      <c r="O23" s="11" t="s">
        <v>6</v>
      </c>
      <c r="P23" s="34">
        <v>25</v>
      </c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54</v>
      </c>
      <c r="X23" s="11" t="s">
        <v>6</v>
      </c>
      <c r="Y23" s="10">
        <f t="shared" si="41"/>
        <v>75</v>
      </c>
      <c r="AA23" s="4">
        <f t="shared" si="21"/>
        <v>3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0</v>
      </c>
      <c r="AF23" s="4">
        <f t="shared" si="26"/>
        <v>1</v>
      </c>
      <c r="AG23" s="4">
        <f t="shared" si="27"/>
        <v>0</v>
      </c>
      <c r="AH23" s="4">
        <f t="shared" si="28"/>
        <v>0</v>
      </c>
      <c r="AI23" s="4">
        <f t="shared" si="29"/>
        <v>75</v>
      </c>
      <c r="AJ23" s="4">
        <f t="shared" si="30"/>
        <v>54</v>
      </c>
      <c r="AL23" s="4" t="str">
        <f t="shared" si="31"/>
        <v>Estados Unidos</v>
      </c>
      <c r="AM23" s="4">
        <f t="shared" si="32"/>
        <v>1</v>
      </c>
      <c r="AN23" s="4">
        <f t="shared" si="33"/>
        <v>0</v>
      </c>
      <c r="AO23" s="4">
        <f t="shared" si="34"/>
        <v>3</v>
      </c>
      <c r="AP23" s="4">
        <f t="shared" si="35"/>
        <v>0</v>
      </c>
      <c r="AQ23" s="4">
        <f t="shared" si="36"/>
        <v>0</v>
      </c>
      <c r="AR23" s="4">
        <f t="shared" si="37"/>
        <v>1</v>
      </c>
      <c r="AS23" s="4">
        <f t="shared" si="38"/>
        <v>54</v>
      </c>
      <c r="AT23" s="4">
        <f t="shared" si="39"/>
        <v>75</v>
      </c>
      <c r="AU23" s="59" t="s">
        <v>90</v>
      </c>
      <c r="AV23" s="59"/>
    </row>
    <row r="24" spans="2:64" x14ac:dyDescent="0.25">
      <c r="B24" s="18">
        <v>45814</v>
      </c>
      <c r="C24" s="26" t="s">
        <v>54</v>
      </c>
      <c r="D24" s="33">
        <v>0</v>
      </c>
      <c r="E24" s="11" t="s">
        <v>6</v>
      </c>
      <c r="F24" s="34">
        <v>3</v>
      </c>
      <c r="G24" s="22" t="s">
        <v>39</v>
      </c>
      <c r="H24" s="33">
        <v>13</v>
      </c>
      <c r="I24" s="11" t="s">
        <v>6</v>
      </c>
      <c r="J24" s="34">
        <v>25</v>
      </c>
      <c r="K24" s="33">
        <v>13</v>
      </c>
      <c r="L24" s="11" t="s">
        <v>6</v>
      </c>
      <c r="M24" s="34">
        <v>25</v>
      </c>
      <c r="N24" s="33">
        <v>17</v>
      </c>
      <c r="O24" s="11" t="s">
        <v>6</v>
      </c>
      <c r="P24" s="34">
        <v>25</v>
      </c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43</v>
      </c>
      <c r="X24" s="11" t="s">
        <v>6</v>
      </c>
      <c r="Y24" s="10">
        <f t="shared" si="41"/>
        <v>75</v>
      </c>
      <c r="AA24" s="4">
        <f t="shared" si="21"/>
        <v>3</v>
      </c>
      <c r="AB24" s="4" t="str">
        <f t="shared" si="22"/>
        <v>Itália</v>
      </c>
      <c r="AC24" s="4">
        <f t="shared" si="23"/>
        <v>1</v>
      </c>
      <c r="AD24" s="4">
        <f t="shared" si="24"/>
        <v>3</v>
      </c>
      <c r="AE24" s="4">
        <f t="shared" si="25"/>
        <v>0</v>
      </c>
      <c r="AF24" s="4">
        <f t="shared" si="26"/>
        <v>1</v>
      </c>
      <c r="AG24" s="4">
        <f t="shared" si="27"/>
        <v>0</v>
      </c>
      <c r="AH24" s="4">
        <f t="shared" si="28"/>
        <v>0</v>
      </c>
      <c r="AI24" s="4">
        <f t="shared" si="29"/>
        <v>75</v>
      </c>
      <c r="AJ24" s="4">
        <f t="shared" si="30"/>
        <v>43</v>
      </c>
      <c r="AL24" s="4" t="str">
        <f t="shared" si="31"/>
        <v>Coreia do Sul</v>
      </c>
      <c r="AM24" s="4">
        <f t="shared" si="32"/>
        <v>1</v>
      </c>
      <c r="AN24" s="4">
        <f t="shared" si="33"/>
        <v>0</v>
      </c>
      <c r="AO24" s="4">
        <f t="shared" si="34"/>
        <v>3</v>
      </c>
      <c r="AP24" s="4">
        <f t="shared" si="35"/>
        <v>0</v>
      </c>
      <c r="AQ24" s="4">
        <f t="shared" si="36"/>
        <v>0</v>
      </c>
      <c r="AR24" s="4">
        <f t="shared" si="37"/>
        <v>1</v>
      </c>
      <c r="AS24" s="4">
        <f t="shared" si="38"/>
        <v>43</v>
      </c>
      <c r="AT24" s="4">
        <f t="shared" si="39"/>
        <v>75</v>
      </c>
      <c r="AU24" s="54"/>
      <c r="AV24" s="7" t="s">
        <v>91</v>
      </c>
    </row>
    <row r="25" spans="2:64" x14ac:dyDescent="0.25">
      <c r="B25" s="18">
        <v>45814</v>
      </c>
      <c r="C25" s="26" t="s">
        <v>59</v>
      </c>
      <c r="D25" s="33">
        <v>3</v>
      </c>
      <c r="E25" s="11" t="s">
        <v>6</v>
      </c>
      <c r="F25" s="34">
        <v>2</v>
      </c>
      <c r="G25" s="22" t="s">
        <v>55</v>
      </c>
      <c r="H25" s="33">
        <v>23</v>
      </c>
      <c r="I25" s="11" t="s">
        <v>6</v>
      </c>
      <c r="J25" s="34">
        <v>25</v>
      </c>
      <c r="K25" s="33">
        <v>20</v>
      </c>
      <c r="L25" s="11" t="s">
        <v>6</v>
      </c>
      <c r="M25" s="34">
        <v>25</v>
      </c>
      <c r="N25" s="33">
        <v>25</v>
      </c>
      <c r="O25" s="11" t="s">
        <v>6</v>
      </c>
      <c r="P25" s="34">
        <v>17</v>
      </c>
      <c r="Q25" s="33">
        <v>25</v>
      </c>
      <c r="R25" s="11" t="s">
        <v>6</v>
      </c>
      <c r="S25" s="34">
        <v>20</v>
      </c>
      <c r="T25" s="33">
        <v>27</v>
      </c>
      <c r="U25" s="11" t="s">
        <v>6</v>
      </c>
      <c r="V25" s="34">
        <v>25</v>
      </c>
      <c r="W25" s="9">
        <f t="shared" si="40"/>
        <v>120</v>
      </c>
      <c r="X25" s="11" t="s">
        <v>6</v>
      </c>
      <c r="Y25" s="10">
        <f t="shared" si="41"/>
        <v>112</v>
      </c>
      <c r="AA25" s="4">
        <f t="shared" si="21"/>
        <v>5</v>
      </c>
      <c r="AB25" s="4" t="str">
        <f t="shared" si="22"/>
        <v>República Tcheca</v>
      </c>
      <c r="AC25" s="4">
        <f t="shared" si="23"/>
        <v>1</v>
      </c>
      <c r="AD25" s="4">
        <f t="shared" si="24"/>
        <v>3</v>
      </c>
      <c r="AE25" s="4">
        <f t="shared" si="25"/>
        <v>2</v>
      </c>
      <c r="AF25" s="4">
        <f t="shared" si="26"/>
        <v>0</v>
      </c>
      <c r="AG25" s="4">
        <f t="shared" si="27"/>
        <v>0</v>
      </c>
      <c r="AH25" s="4">
        <f t="shared" si="28"/>
        <v>1</v>
      </c>
      <c r="AI25" s="4">
        <f t="shared" si="29"/>
        <v>120</v>
      </c>
      <c r="AJ25" s="4">
        <f t="shared" si="30"/>
        <v>112</v>
      </c>
      <c r="AL25" s="4" t="str">
        <f t="shared" si="31"/>
        <v>Estados Unidos</v>
      </c>
      <c r="AM25" s="4">
        <f t="shared" si="32"/>
        <v>1</v>
      </c>
      <c r="AN25" s="4">
        <f t="shared" si="33"/>
        <v>2</v>
      </c>
      <c r="AO25" s="4">
        <f t="shared" si="34"/>
        <v>3</v>
      </c>
      <c r="AP25" s="4">
        <f t="shared" si="35"/>
        <v>1</v>
      </c>
      <c r="AQ25" s="4">
        <f t="shared" si="36"/>
        <v>0</v>
      </c>
      <c r="AR25" s="4">
        <f t="shared" si="37"/>
        <v>0</v>
      </c>
      <c r="AS25" s="4">
        <f t="shared" si="38"/>
        <v>112</v>
      </c>
      <c r="AT25" s="4">
        <f t="shared" si="39"/>
        <v>120</v>
      </c>
      <c r="AU25" s="55"/>
      <c r="AV25" s="7" t="s">
        <v>92</v>
      </c>
    </row>
    <row r="26" spans="2:64" x14ac:dyDescent="0.25">
      <c r="B26" s="18">
        <v>45815</v>
      </c>
      <c r="C26" s="26" t="s">
        <v>42</v>
      </c>
      <c r="D26" s="33">
        <v>2</v>
      </c>
      <c r="E26" s="11" t="s">
        <v>6</v>
      </c>
      <c r="F26" s="34">
        <v>3</v>
      </c>
      <c r="G26" s="22" t="s">
        <v>49</v>
      </c>
      <c r="H26" s="33">
        <v>23</v>
      </c>
      <c r="I26" s="11" t="s">
        <v>6</v>
      </c>
      <c r="J26" s="34">
        <v>25</v>
      </c>
      <c r="K26" s="33">
        <v>25</v>
      </c>
      <c r="L26" s="11" t="s">
        <v>6</v>
      </c>
      <c r="M26" s="34">
        <v>21</v>
      </c>
      <c r="N26" s="33">
        <v>25</v>
      </c>
      <c r="O26" s="11" t="s">
        <v>6</v>
      </c>
      <c r="P26" s="34">
        <v>23</v>
      </c>
      <c r="Q26" s="33">
        <v>20</v>
      </c>
      <c r="R26" s="11" t="s">
        <v>6</v>
      </c>
      <c r="S26" s="34">
        <v>25</v>
      </c>
      <c r="T26" s="33">
        <v>8</v>
      </c>
      <c r="U26" s="11" t="s">
        <v>6</v>
      </c>
      <c r="V26" s="34">
        <v>15</v>
      </c>
      <c r="W26" s="9">
        <f t="shared" si="40"/>
        <v>101</v>
      </c>
      <c r="X26" s="11" t="s">
        <v>6</v>
      </c>
      <c r="Y26" s="10">
        <f t="shared" si="41"/>
        <v>109</v>
      </c>
      <c r="AA26" s="4">
        <f t="shared" si="21"/>
        <v>5</v>
      </c>
      <c r="AB26" s="4" t="str">
        <f t="shared" si="22"/>
        <v>Brasil</v>
      </c>
      <c r="AC26" s="4">
        <f t="shared" si="23"/>
        <v>1</v>
      </c>
      <c r="AD26" s="4">
        <f t="shared" si="24"/>
        <v>3</v>
      </c>
      <c r="AE26" s="4">
        <f t="shared" si="25"/>
        <v>2</v>
      </c>
      <c r="AF26" s="4">
        <f t="shared" si="26"/>
        <v>0</v>
      </c>
      <c r="AG26" s="4">
        <f t="shared" si="27"/>
        <v>0</v>
      </c>
      <c r="AH26" s="4">
        <f t="shared" si="28"/>
        <v>1</v>
      </c>
      <c r="AI26" s="4">
        <f t="shared" si="29"/>
        <v>109</v>
      </c>
      <c r="AJ26" s="4">
        <f t="shared" si="30"/>
        <v>101</v>
      </c>
      <c r="AL26" s="4" t="str">
        <f t="shared" si="31"/>
        <v>Alemanha</v>
      </c>
      <c r="AM26" s="4">
        <f t="shared" si="32"/>
        <v>1</v>
      </c>
      <c r="AN26" s="4">
        <f t="shared" si="33"/>
        <v>2</v>
      </c>
      <c r="AO26" s="4">
        <f t="shared" si="34"/>
        <v>3</v>
      </c>
      <c r="AP26" s="4">
        <f t="shared" si="35"/>
        <v>1</v>
      </c>
      <c r="AQ26" s="4">
        <f t="shared" si="36"/>
        <v>0</v>
      </c>
      <c r="AR26" s="4">
        <f t="shared" si="37"/>
        <v>0</v>
      </c>
      <c r="AS26" s="4">
        <f t="shared" si="38"/>
        <v>101</v>
      </c>
      <c r="AT26" s="4">
        <f t="shared" si="39"/>
        <v>109</v>
      </c>
      <c r="AU26" s="57"/>
      <c r="AV26" s="7" t="s">
        <v>93</v>
      </c>
    </row>
    <row r="27" spans="2:64" x14ac:dyDescent="0.25">
      <c r="B27" s="18">
        <v>45815</v>
      </c>
      <c r="C27" s="26" t="s">
        <v>54</v>
      </c>
      <c r="D27" s="33">
        <v>2</v>
      </c>
      <c r="E27" s="11" t="s">
        <v>6</v>
      </c>
      <c r="F27" s="34">
        <v>3</v>
      </c>
      <c r="G27" s="22" t="s">
        <v>59</v>
      </c>
      <c r="H27" s="33">
        <v>25</v>
      </c>
      <c r="I27" s="11" t="s">
        <v>6</v>
      </c>
      <c r="J27" s="34">
        <v>17</v>
      </c>
      <c r="K27" s="33">
        <v>17</v>
      </c>
      <c r="L27" s="11" t="s">
        <v>6</v>
      </c>
      <c r="M27" s="34">
        <v>25</v>
      </c>
      <c r="N27" s="33">
        <v>25</v>
      </c>
      <c r="O27" s="11" t="s">
        <v>6</v>
      </c>
      <c r="P27" s="34">
        <v>21</v>
      </c>
      <c r="Q27" s="33">
        <v>9</v>
      </c>
      <c r="R27" s="11" t="s">
        <v>6</v>
      </c>
      <c r="S27" s="34">
        <v>25</v>
      </c>
      <c r="T27" s="33">
        <v>9</v>
      </c>
      <c r="U27" s="11" t="s">
        <v>6</v>
      </c>
      <c r="V27" s="34">
        <v>15</v>
      </c>
      <c r="W27" s="9">
        <f t="shared" si="40"/>
        <v>85</v>
      </c>
      <c r="X27" s="11" t="s">
        <v>6</v>
      </c>
      <c r="Y27" s="10">
        <f t="shared" si="41"/>
        <v>103</v>
      </c>
      <c r="AA27" s="4">
        <f t="shared" si="21"/>
        <v>5</v>
      </c>
      <c r="AB27" s="4" t="str">
        <f t="shared" si="22"/>
        <v>República Tcheca</v>
      </c>
      <c r="AC27" s="4">
        <f t="shared" si="23"/>
        <v>1</v>
      </c>
      <c r="AD27" s="4">
        <f t="shared" si="24"/>
        <v>3</v>
      </c>
      <c r="AE27" s="4">
        <f t="shared" si="25"/>
        <v>2</v>
      </c>
      <c r="AF27" s="4">
        <f t="shared" si="26"/>
        <v>0</v>
      </c>
      <c r="AG27" s="4">
        <f t="shared" si="27"/>
        <v>0</v>
      </c>
      <c r="AH27" s="4">
        <f t="shared" si="28"/>
        <v>1</v>
      </c>
      <c r="AI27" s="4">
        <f t="shared" si="29"/>
        <v>103</v>
      </c>
      <c r="AJ27" s="4">
        <f t="shared" si="30"/>
        <v>85</v>
      </c>
      <c r="AL27" s="4" t="str">
        <f t="shared" si="31"/>
        <v>Coreia do Sul</v>
      </c>
      <c r="AM27" s="4">
        <f t="shared" si="32"/>
        <v>1</v>
      </c>
      <c r="AN27" s="4">
        <f t="shared" si="33"/>
        <v>2</v>
      </c>
      <c r="AO27" s="4">
        <f t="shared" si="34"/>
        <v>3</v>
      </c>
      <c r="AP27" s="4">
        <f t="shared" si="35"/>
        <v>1</v>
      </c>
      <c r="AQ27" s="4">
        <f t="shared" si="36"/>
        <v>0</v>
      </c>
      <c r="AR27" s="4">
        <f t="shared" si="37"/>
        <v>0</v>
      </c>
      <c r="AS27" s="4">
        <f t="shared" si="38"/>
        <v>85</v>
      </c>
      <c r="AT27" s="4">
        <f t="shared" si="39"/>
        <v>103</v>
      </c>
    </row>
    <row r="28" spans="2:64" x14ac:dyDescent="0.25">
      <c r="B28" s="18">
        <v>45816</v>
      </c>
      <c r="C28" s="26" t="s">
        <v>49</v>
      </c>
      <c r="D28" s="33">
        <v>0</v>
      </c>
      <c r="E28" s="11" t="s">
        <v>6</v>
      </c>
      <c r="F28" s="34">
        <v>3</v>
      </c>
      <c r="G28" s="22" t="s">
        <v>39</v>
      </c>
      <c r="H28" s="33">
        <v>22</v>
      </c>
      <c r="I28" s="11" t="s">
        <v>6</v>
      </c>
      <c r="J28" s="34">
        <v>25</v>
      </c>
      <c r="K28" s="33">
        <v>18</v>
      </c>
      <c r="L28" s="11" t="s">
        <v>6</v>
      </c>
      <c r="M28" s="34">
        <v>25</v>
      </c>
      <c r="N28" s="33">
        <v>27</v>
      </c>
      <c r="O28" s="11" t="s">
        <v>6</v>
      </c>
      <c r="P28" s="34">
        <v>29</v>
      </c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67</v>
      </c>
      <c r="X28" s="11" t="s">
        <v>6</v>
      </c>
      <c r="Y28" s="10">
        <f t="shared" si="41"/>
        <v>79</v>
      </c>
      <c r="AA28" s="4">
        <f t="shared" si="21"/>
        <v>3</v>
      </c>
      <c r="AB28" s="4" t="str">
        <f t="shared" si="22"/>
        <v>Itália</v>
      </c>
      <c r="AC28" s="4">
        <f t="shared" si="23"/>
        <v>1</v>
      </c>
      <c r="AD28" s="4">
        <f t="shared" si="24"/>
        <v>3</v>
      </c>
      <c r="AE28" s="4">
        <f t="shared" si="25"/>
        <v>0</v>
      </c>
      <c r="AF28" s="4">
        <f t="shared" si="26"/>
        <v>1</v>
      </c>
      <c r="AG28" s="4">
        <f t="shared" si="27"/>
        <v>0</v>
      </c>
      <c r="AH28" s="4">
        <f t="shared" si="28"/>
        <v>0</v>
      </c>
      <c r="AI28" s="4">
        <f t="shared" si="29"/>
        <v>79</v>
      </c>
      <c r="AJ28" s="4">
        <f t="shared" si="30"/>
        <v>67</v>
      </c>
      <c r="AL28" s="4" t="str">
        <f t="shared" si="31"/>
        <v>Brasil</v>
      </c>
      <c r="AM28" s="4">
        <f t="shared" si="32"/>
        <v>1</v>
      </c>
      <c r="AN28" s="4">
        <f t="shared" si="33"/>
        <v>0</v>
      </c>
      <c r="AO28" s="4">
        <f t="shared" si="34"/>
        <v>3</v>
      </c>
      <c r="AP28" s="4">
        <f t="shared" si="35"/>
        <v>0</v>
      </c>
      <c r="AQ28" s="4">
        <f t="shared" si="36"/>
        <v>0</v>
      </c>
      <c r="AR28" s="4">
        <f t="shared" si="37"/>
        <v>1</v>
      </c>
      <c r="AS28" s="4">
        <f t="shared" si="38"/>
        <v>67</v>
      </c>
      <c r="AT28" s="4">
        <f t="shared" si="39"/>
        <v>79</v>
      </c>
    </row>
    <row r="29" spans="2:64" x14ac:dyDescent="0.25">
      <c r="B29" s="18">
        <v>45816</v>
      </c>
      <c r="C29" s="26" t="s">
        <v>59</v>
      </c>
      <c r="D29" s="33">
        <v>1</v>
      </c>
      <c r="E29" s="11" t="s">
        <v>6</v>
      </c>
      <c r="F29" s="34">
        <v>3</v>
      </c>
      <c r="G29" s="22" t="s">
        <v>42</v>
      </c>
      <c r="H29" s="33">
        <v>22</v>
      </c>
      <c r="I29" s="11" t="s">
        <v>6</v>
      </c>
      <c r="J29" s="34">
        <v>25</v>
      </c>
      <c r="K29" s="33">
        <v>18</v>
      </c>
      <c r="L29" s="11" t="s">
        <v>6</v>
      </c>
      <c r="M29" s="34">
        <v>25</v>
      </c>
      <c r="N29" s="33">
        <v>25</v>
      </c>
      <c r="O29" s="11" t="s">
        <v>6</v>
      </c>
      <c r="P29" s="34">
        <v>22</v>
      </c>
      <c r="Q29" s="33">
        <v>23</v>
      </c>
      <c r="R29" s="11" t="s">
        <v>6</v>
      </c>
      <c r="S29" s="34">
        <v>25</v>
      </c>
      <c r="T29" s="33"/>
      <c r="U29" s="11" t="s">
        <v>6</v>
      </c>
      <c r="V29" s="34"/>
      <c r="W29" s="9">
        <f t="shared" si="40"/>
        <v>88</v>
      </c>
      <c r="X29" s="11" t="s">
        <v>6</v>
      </c>
      <c r="Y29" s="10">
        <f t="shared" si="41"/>
        <v>97</v>
      </c>
      <c r="AA29" s="4">
        <f t="shared" si="21"/>
        <v>4</v>
      </c>
      <c r="AB29" s="4" t="str">
        <f t="shared" si="22"/>
        <v>Alemanha</v>
      </c>
      <c r="AC29" s="4">
        <f t="shared" si="23"/>
        <v>1</v>
      </c>
      <c r="AD29" s="4">
        <f t="shared" si="24"/>
        <v>3</v>
      </c>
      <c r="AE29" s="4">
        <f t="shared" si="25"/>
        <v>1</v>
      </c>
      <c r="AF29" s="4">
        <f t="shared" si="26"/>
        <v>0</v>
      </c>
      <c r="AG29" s="4">
        <f t="shared" si="27"/>
        <v>1</v>
      </c>
      <c r="AH29" s="4">
        <f t="shared" si="28"/>
        <v>0</v>
      </c>
      <c r="AI29" s="4">
        <f t="shared" si="29"/>
        <v>97</v>
      </c>
      <c r="AJ29" s="4">
        <f t="shared" si="30"/>
        <v>88</v>
      </c>
      <c r="AL29" s="4" t="str">
        <f t="shared" si="31"/>
        <v>República Tcheca</v>
      </c>
      <c r="AM29" s="4">
        <f t="shared" si="32"/>
        <v>1</v>
      </c>
      <c r="AN29" s="4">
        <f t="shared" si="33"/>
        <v>1</v>
      </c>
      <c r="AO29" s="4">
        <f t="shared" si="34"/>
        <v>3</v>
      </c>
      <c r="AP29" s="4">
        <f t="shared" si="35"/>
        <v>0</v>
      </c>
      <c r="AQ29" s="4">
        <f t="shared" si="36"/>
        <v>1</v>
      </c>
      <c r="AR29" s="4">
        <f t="shared" si="37"/>
        <v>0</v>
      </c>
      <c r="AS29" s="4">
        <f t="shared" si="38"/>
        <v>88</v>
      </c>
      <c r="AT29" s="4">
        <f t="shared" si="39"/>
        <v>97</v>
      </c>
    </row>
    <row r="30" spans="2:64" x14ac:dyDescent="0.25">
      <c r="B30" s="18">
        <v>45816</v>
      </c>
      <c r="C30" s="26" t="s">
        <v>54</v>
      </c>
      <c r="D30" s="33">
        <v>0</v>
      </c>
      <c r="E30" s="11" t="s">
        <v>6</v>
      </c>
      <c r="F30" s="34">
        <v>3</v>
      </c>
      <c r="G30" s="22" t="s">
        <v>55</v>
      </c>
      <c r="H30" s="33">
        <v>13</v>
      </c>
      <c r="I30" s="11" t="s">
        <v>6</v>
      </c>
      <c r="J30" s="34">
        <v>25</v>
      </c>
      <c r="K30" s="33">
        <v>26</v>
      </c>
      <c r="L30" s="11" t="s">
        <v>6</v>
      </c>
      <c r="M30" s="34">
        <v>28</v>
      </c>
      <c r="N30" s="33">
        <v>17</v>
      </c>
      <c r="O30" s="11" t="s">
        <v>6</v>
      </c>
      <c r="P30" s="34">
        <v>25</v>
      </c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56</v>
      </c>
      <c r="X30" s="11" t="s">
        <v>6</v>
      </c>
      <c r="Y30" s="10">
        <f t="shared" si="41"/>
        <v>78</v>
      </c>
      <c r="AA30" s="4">
        <f t="shared" si="21"/>
        <v>3</v>
      </c>
      <c r="AB30" s="4" t="str">
        <f t="shared" si="22"/>
        <v>Estados Unidos</v>
      </c>
      <c r="AC30" s="4">
        <f t="shared" si="23"/>
        <v>1</v>
      </c>
      <c r="AD30" s="4">
        <f t="shared" si="24"/>
        <v>3</v>
      </c>
      <c r="AE30" s="4">
        <f t="shared" si="25"/>
        <v>0</v>
      </c>
      <c r="AF30" s="4">
        <f t="shared" si="26"/>
        <v>1</v>
      </c>
      <c r="AG30" s="4">
        <f t="shared" si="27"/>
        <v>0</v>
      </c>
      <c r="AH30" s="4">
        <f t="shared" si="28"/>
        <v>0</v>
      </c>
      <c r="AI30" s="4">
        <f t="shared" si="29"/>
        <v>78</v>
      </c>
      <c r="AJ30" s="4">
        <f t="shared" si="30"/>
        <v>56</v>
      </c>
      <c r="AL30" s="4" t="str">
        <f t="shared" si="31"/>
        <v>Coreia do Sul</v>
      </c>
      <c r="AM30" s="4">
        <f t="shared" si="32"/>
        <v>1</v>
      </c>
      <c r="AN30" s="4">
        <f t="shared" si="33"/>
        <v>0</v>
      </c>
      <c r="AO30" s="4">
        <f t="shared" si="34"/>
        <v>3</v>
      </c>
      <c r="AP30" s="4">
        <f t="shared" si="35"/>
        <v>0</v>
      </c>
      <c r="AQ30" s="4">
        <f t="shared" si="36"/>
        <v>0</v>
      </c>
      <c r="AR30" s="4">
        <f t="shared" si="37"/>
        <v>1</v>
      </c>
      <c r="AS30" s="4">
        <f t="shared" si="38"/>
        <v>56</v>
      </c>
      <c r="AT30" s="4">
        <f t="shared" si="39"/>
        <v>78</v>
      </c>
    </row>
    <row r="31" spans="2:64" ht="14.25" x14ac:dyDescent="0.25">
      <c r="B31" s="66" t="s">
        <v>12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</row>
    <row r="32" spans="2:64" x14ac:dyDescent="0.25">
      <c r="B32" s="16" t="s">
        <v>2</v>
      </c>
      <c r="C32" s="24"/>
      <c r="D32" s="67" t="s">
        <v>3</v>
      </c>
      <c r="E32" s="67"/>
      <c r="F32" s="67"/>
      <c r="G32" s="20"/>
      <c r="H32" s="68" t="s">
        <v>4</v>
      </c>
      <c r="I32" s="68"/>
      <c r="J32" s="68"/>
      <c r="K32" s="68" t="s">
        <v>5</v>
      </c>
      <c r="L32" s="68"/>
      <c r="M32" s="68"/>
      <c r="N32" s="68" t="s">
        <v>7</v>
      </c>
      <c r="O32" s="68"/>
      <c r="P32" s="68"/>
      <c r="Q32" s="68" t="s">
        <v>8</v>
      </c>
      <c r="R32" s="68"/>
      <c r="S32" s="68"/>
      <c r="T32" s="68" t="s">
        <v>9</v>
      </c>
      <c r="U32" s="68"/>
      <c r="V32" s="68"/>
      <c r="W32" s="68" t="s">
        <v>10</v>
      </c>
      <c r="X32" s="68"/>
      <c r="Y32" s="68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</row>
    <row r="33" spans="2:64" x14ac:dyDescent="0.25">
      <c r="B33" s="17">
        <v>45812</v>
      </c>
      <c r="C33" s="25" t="s">
        <v>41</v>
      </c>
      <c r="D33" s="33">
        <v>1</v>
      </c>
      <c r="E33" s="11" t="s">
        <v>6</v>
      </c>
      <c r="F33" s="34">
        <v>3</v>
      </c>
      <c r="G33" s="21" t="s">
        <v>30</v>
      </c>
      <c r="H33" s="33">
        <v>17</v>
      </c>
      <c r="I33" s="11" t="s">
        <v>6</v>
      </c>
      <c r="J33" s="34">
        <v>25</v>
      </c>
      <c r="K33" s="33">
        <v>25</v>
      </c>
      <c r="L33" s="11" t="s">
        <v>6</v>
      </c>
      <c r="M33" s="34">
        <v>23</v>
      </c>
      <c r="N33" s="33">
        <v>13</v>
      </c>
      <c r="O33" s="11" t="s">
        <v>6</v>
      </c>
      <c r="P33" s="34">
        <v>25</v>
      </c>
      <c r="Q33" s="33">
        <v>14</v>
      </c>
      <c r="R33" s="11" t="s">
        <v>6</v>
      </c>
      <c r="S33" s="34">
        <v>25</v>
      </c>
      <c r="T33" s="33"/>
      <c r="U33" s="11" t="s">
        <v>6</v>
      </c>
      <c r="V33" s="34"/>
      <c r="W33" s="12">
        <f>SUM(H33,K33,N33,Q33,T33)</f>
        <v>69</v>
      </c>
      <c r="X33" s="13" t="s">
        <v>6</v>
      </c>
      <c r="Y33" s="14">
        <f>SUM(J33,M33,P33,S33,V33)</f>
        <v>98</v>
      </c>
      <c r="AA33" s="4">
        <f t="shared" ref="AA33" si="42">AD33+AE33</f>
        <v>4</v>
      </c>
      <c r="AB33" s="4" t="str">
        <f t="shared" ref="AB33:AB44" si="43">IF(OR(D33="",F33=""),0,IF(D33&gt;F33,C33,G33))</f>
        <v>Turquia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1</v>
      </c>
      <c r="AF33" s="4">
        <f t="shared" ref="AF33:AF44" si="47">IF(AND(AD33=3,AE33=0),1,0)</f>
        <v>0</v>
      </c>
      <c r="AG33" s="4">
        <f t="shared" ref="AG33:AG44" si="48">IF(AND(AD33=3,AE33=1),1,0)</f>
        <v>1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98</v>
      </c>
      <c r="AJ33" s="4">
        <f t="shared" ref="AJ33:AJ44" si="51">IF(D33&gt;F33,SUM(J33,M33,P33,S33,V33),SUM(H33,K33,N33,Q33,T33))</f>
        <v>69</v>
      </c>
      <c r="AL33" s="4" t="str">
        <f t="shared" ref="AL33:AL44" si="52">IF(OR(D33="",F33=""),0,IF(D33&lt;F33,C33,G33))</f>
        <v>França</v>
      </c>
      <c r="AM33" s="4">
        <f t="shared" ref="AM33:AM44" si="53">IF(OR(D33="",F33=""),0,1)</f>
        <v>1</v>
      </c>
      <c r="AN33" s="4">
        <f t="shared" ref="AN33:AN44" si="54">IF(OR(D33="",F33=""),0,IF(D33&lt;F33,D33,F33))</f>
        <v>1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1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69</v>
      </c>
      <c r="AT33" s="4">
        <f t="shared" ref="AT33:AT44" si="60">IF(D33&lt;F33,SUM(J33,M33,P33,S33,V33),SUM(H33,K33,N33,Q33,T33))</f>
        <v>98</v>
      </c>
    </row>
    <row r="34" spans="2:64" x14ac:dyDescent="0.25">
      <c r="B34" s="17">
        <v>45812</v>
      </c>
      <c r="C34" s="25" t="s">
        <v>58</v>
      </c>
      <c r="D34" s="33">
        <v>0</v>
      </c>
      <c r="E34" s="11" t="s">
        <v>6</v>
      </c>
      <c r="F34" s="34">
        <v>3</v>
      </c>
      <c r="G34" s="21" t="s">
        <v>40</v>
      </c>
      <c r="H34" s="33">
        <v>22</v>
      </c>
      <c r="I34" s="11" t="s">
        <v>6</v>
      </c>
      <c r="J34" s="34">
        <v>25</v>
      </c>
      <c r="K34" s="33">
        <v>24</v>
      </c>
      <c r="L34" s="11" t="s">
        <v>6</v>
      </c>
      <c r="M34" s="34">
        <v>26</v>
      </c>
      <c r="N34" s="33">
        <v>22</v>
      </c>
      <c r="O34" s="11" t="s">
        <v>6</v>
      </c>
      <c r="P34" s="34">
        <v>25</v>
      </c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68</v>
      </c>
      <c r="X34" s="13" t="s">
        <v>6</v>
      </c>
      <c r="Y34" s="14">
        <f t="shared" ref="Y34:Y44" si="62">SUM(J34,M34,P34,S34,V34)</f>
        <v>76</v>
      </c>
      <c r="AA34" s="4">
        <f t="shared" si="21"/>
        <v>3</v>
      </c>
      <c r="AB34" s="4" t="str">
        <f t="shared" si="43"/>
        <v>Polônia</v>
      </c>
      <c r="AC34" s="4">
        <f t="shared" si="44"/>
        <v>1</v>
      </c>
      <c r="AD34" s="4">
        <f t="shared" si="45"/>
        <v>3</v>
      </c>
      <c r="AE34" s="4">
        <f t="shared" si="46"/>
        <v>0</v>
      </c>
      <c r="AF34" s="4">
        <f t="shared" si="47"/>
        <v>1</v>
      </c>
      <c r="AG34" s="4">
        <f t="shared" si="48"/>
        <v>0</v>
      </c>
      <c r="AH34" s="4">
        <f t="shared" si="49"/>
        <v>0</v>
      </c>
      <c r="AI34" s="4">
        <f t="shared" si="50"/>
        <v>76</v>
      </c>
      <c r="AJ34" s="4">
        <f t="shared" si="51"/>
        <v>68</v>
      </c>
      <c r="AL34" s="4" t="str">
        <f t="shared" si="52"/>
        <v>Tailândia</v>
      </c>
      <c r="AM34" s="4">
        <f t="shared" si="53"/>
        <v>1</v>
      </c>
      <c r="AN34" s="4">
        <f t="shared" si="54"/>
        <v>0</v>
      </c>
      <c r="AO34" s="4">
        <f t="shared" si="55"/>
        <v>3</v>
      </c>
      <c r="AP34" s="4">
        <f t="shared" si="56"/>
        <v>0</v>
      </c>
      <c r="AQ34" s="4">
        <f t="shared" si="57"/>
        <v>0</v>
      </c>
      <c r="AR34" s="4">
        <f t="shared" si="58"/>
        <v>1</v>
      </c>
      <c r="AS34" s="4">
        <f t="shared" si="59"/>
        <v>68</v>
      </c>
      <c r="AT34" s="4">
        <f t="shared" si="60"/>
        <v>76</v>
      </c>
    </row>
    <row r="35" spans="2:64" x14ac:dyDescent="0.25">
      <c r="B35" s="17">
        <v>45812</v>
      </c>
      <c r="C35" s="25" t="s">
        <v>53</v>
      </c>
      <c r="D35" s="33">
        <v>3</v>
      </c>
      <c r="E35" s="11" t="s">
        <v>6</v>
      </c>
      <c r="F35" s="34">
        <v>0</v>
      </c>
      <c r="G35" s="21" t="s">
        <v>48</v>
      </c>
      <c r="H35" s="33">
        <v>25</v>
      </c>
      <c r="I35" s="11" t="s">
        <v>6</v>
      </c>
      <c r="J35" s="34">
        <v>18</v>
      </c>
      <c r="K35" s="33">
        <v>27</v>
      </c>
      <c r="L35" s="11" t="s">
        <v>6</v>
      </c>
      <c r="M35" s="34">
        <v>25</v>
      </c>
      <c r="N35" s="33">
        <v>25</v>
      </c>
      <c r="O35" s="11" t="s">
        <v>6</v>
      </c>
      <c r="P35" s="34">
        <v>13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77</v>
      </c>
      <c r="X35" s="13" t="s">
        <v>6</v>
      </c>
      <c r="Y35" s="14">
        <f t="shared" si="62"/>
        <v>56</v>
      </c>
      <c r="AA35" s="4">
        <f t="shared" si="21"/>
        <v>3</v>
      </c>
      <c r="AB35" s="4" t="str">
        <f t="shared" si="43"/>
        <v>China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77</v>
      </c>
      <c r="AJ35" s="4">
        <f t="shared" si="51"/>
        <v>56</v>
      </c>
      <c r="AL35" s="4" t="str">
        <f t="shared" si="52"/>
        <v>Bélgica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56</v>
      </c>
      <c r="AT35" s="4">
        <f t="shared" si="60"/>
        <v>77</v>
      </c>
    </row>
    <row r="36" spans="2:64" x14ac:dyDescent="0.25">
      <c r="B36" s="17">
        <v>45813</v>
      </c>
      <c r="C36" s="25" t="s">
        <v>48</v>
      </c>
      <c r="D36" s="33">
        <v>3</v>
      </c>
      <c r="E36" s="11" t="s">
        <v>6</v>
      </c>
      <c r="F36" s="34">
        <v>1</v>
      </c>
      <c r="G36" s="21" t="s">
        <v>58</v>
      </c>
      <c r="H36" s="33">
        <v>25</v>
      </c>
      <c r="I36" s="11" t="s">
        <v>6</v>
      </c>
      <c r="J36" s="34">
        <v>22</v>
      </c>
      <c r="K36" s="33">
        <v>25</v>
      </c>
      <c r="L36" s="11" t="s">
        <v>6</v>
      </c>
      <c r="M36" s="34">
        <v>23</v>
      </c>
      <c r="N36" s="33">
        <v>24</v>
      </c>
      <c r="O36" s="11" t="s">
        <v>6</v>
      </c>
      <c r="P36" s="34">
        <v>26</v>
      </c>
      <c r="Q36" s="33">
        <v>25</v>
      </c>
      <c r="R36" s="11" t="s">
        <v>6</v>
      </c>
      <c r="S36" s="34">
        <v>22</v>
      </c>
      <c r="T36" s="33"/>
      <c r="U36" s="11" t="s">
        <v>6</v>
      </c>
      <c r="V36" s="34"/>
      <c r="W36" s="12">
        <f t="shared" si="61"/>
        <v>99</v>
      </c>
      <c r="X36" s="13" t="s">
        <v>6</v>
      </c>
      <c r="Y36" s="14">
        <f t="shared" si="62"/>
        <v>93</v>
      </c>
      <c r="AA36" s="4">
        <f t="shared" si="21"/>
        <v>4</v>
      </c>
      <c r="AB36" s="4" t="str">
        <f t="shared" si="43"/>
        <v>Bélgica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99</v>
      </c>
      <c r="AJ36" s="4">
        <f t="shared" si="51"/>
        <v>93</v>
      </c>
      <c r="AL36" s="4" t="str">
        <f t="shared" si="52"/>
        <v>Tailândia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93</v>
      </c>
      <c r="AT36" s="4">
        <f t="shared" si="60"/>
        <v>99</v>
      </c>
    </row>
    <row r="37" spans="2:64" x14ac:dyDescent="0.25">
      <c r="B37" s="17">
        <v>45813</v>
      </c>
      <c r="C37" s="25" t="s">
        <v>53</v>
      </c>
      <c r="D37" s="33">
        <v>1</v>
      </c>
      <c r="E37" s="11" t="s">
        <v>6</v>
      </c>
      <c r="F37" s="34">
        <v>3</v>
      </c>
      <c r="G37" s="21" t="s">
        <v>40</v>
      </c>
      <c r="H37" s="33">
        <v>22</v>
      </c>
      <c r="I37" s="11" t="s">
        <v>6</v>
      </c>
      <c r="J37" s="34">
        <v>25</v>
      </c>
      <c r="K37" s="33">
        <v>25</v>
      </c>
      <c r="L37" s="11" t="s">
        <v>6</v>
      </c>
      <c r="M37" s="34">
        <v>20</v>
      </c>
      <c r="N37" s="33">
        <v>19</v>
      </c>
      <c r="O37" s="11" t="s">
        <v>6</v>
      </c>
      <c r="P37" s="34">
        <v>25</v>
      </c>
      <c r="Q37" s="33">
        <v>21</v>
      </c>
      <c r="R37" s="11" t="s">
        <v>6</v>
      </c>
      <c r="S37" s="34">
        <v>25</v>
      </c>
      <c r="T37" s="33"/>
      <c r="U37" s="11" t="s">
        <v>6</v>
      </c>
      <c r="V37" s="34"/>
      <c r="W37" s="12">
        <f t="shared" si="61"/>
        <v>87</v>
      </c>
      <c r="X37" s="13" t="s">
        <v>6</v>
      </c>
      <c r="Y37" s="14">
        <f t="shared" si="62"/>
        <v>95</v>
      </c>
      <c r="AA37" s="4">
        <f t="shared" si="21"/>
        <v>4</v>
      </c>
      <c r="AB37" s="4" t="str">
        <f t="shared" si="43"/>
        <v>Polônia</v>
      </c>
      <c r="AC37" s="4">
        <f t="shared" si="44"/>
        <v>1</v>
      </c>
      <c r="AD37" s="4">
        <f t="shared" si="45"/>
        <v>3</v>
      </c>
      <c r="AE37" s="4">
        <f t="shared" si="46"/>
        <v>1</v>
      </c>
      <c r="AF37" s="4">
        <f t="shared" si="47"/>
        <v>0</v>
      </c>
      <c r="AG37" s="4">
        <f t="shared" si="48"/>
        <v>1</v>
      </c>
      <c r="AH37" s="4">
        <f t="shared" si="49"/>
        <v>0</v>
      </c>
      <c r="AI37" s="4">
        <f t="shared" si="50"/>
        <v>95</v>
      </c>
      <c r="AJ37" s="4">
        <f t="shared" si="51"/>
        <v>87</v>
      </c>
      <c r="AL37" s="4" t="str">
        <f t="shared" si="52"/>
        <v>China</v>
      </c>
      <c r="AM37" s="4">
        <f t="shared" si="53"/>
        <v>1</v>
      </c>
      <c r="AN37" s="4">
        <f t="shared" si="54"/>
        <v>1</v>
      </c>
      <c r="AO37" s="4">
        <f t="shared" si="55"/>
        <v>3</v>
      </c>
      <c r="AP37" s="4">
        <f t="shared" si="56"/>
        <v>0</v>
      </c>
      <c r="AQ37" s="4">
        <f t="shared" si="57"/>
        <v>1</v>
      </c>
      <c r="AR37" s="4">
        <f t="shared" si="58"/>
        <v>0</v>
      </c>
      <c r="AS37" s="4">
        <f t="shared" si="59"/>
        <v>87</v>
      </c>
      <c r="AT37" s="4">
        <f t="shared" si="60"/>
        <v>95</v>
      </c>
    </row>
    <row r="38" spans="2:64" x14ac:dyDescent="0.25">
      <c r="B38" s="17">
        <v>45814</v>
      </c>
      <c r="C38" s="25" t="s">
        <v>41</v>
      </c>
      <c r="D38" s="33">
        <v>3</v>
      </c>
      <c r="E38" s="11" t="s">
        <v>6</v>
      </c>
      <c r="F38" s="34">
        <v>1</v>
      </c>
      <c r="G38" s="21" t="s">
        <v>48</v>
      </c>
      <c r="H38" s="33">
        <v>25</v>
      </c>
      <c r="I38" s="11" t="s">
        <v>6</v>
      </c>
      <c r="J38" s="34">
        <v>22</v>
      </c>
      <c r="K38" s="33">
        <v>13</v>
      </c>
      <c r="L38" s="11" t="s">
        <v>6</v>
      </c>
      <c r="M38" s="34">
        <v>25</v>
      </c>
      <c r="N38" s="33">
        <v>25</v>
      </c>
      <c r="O38" s="11" t="s">
        <v>6</v>
      </c>
      <c r="P38" s="34">
        <v>13</v>
      </c>
      <c r="Q38" s="33">
        <v>25</v>
      </c>
      <c r="R38" s="11" t="s">
        <v>6</v>
      </c>
      <c r="S38" s="34">
        <v>19</v>
      </c>
      <c r="T38" s="33"/>
      <c r="U38" s="11" t="s">
        <v>6</v>
      </c>
      <c r="V38" s="34"/>
      <c r="W38" s="12">
        <f t="shared" si="61"/>
        <v>88</v>
      </c>
      <c r="X38" s="13" t="s">
        <v>6</v>
      </c>
      <c r="Y38" s="14">
        <f t="shared" si="62"/>
        <v>79</v>
      </c>
      <c r="AA38" s="4">
        <f t="shared" si="21"/>
        <v>4</v>
      </c>
      <c r="AB38" s="4" t="str">
        <f t="shared" si="43"/>
        <v>França</v>
      </c>
      <c r="AC38" s="4">
        <f t="shared" si="44"/>
        <v>1</v>
      </c>
      <c r="AD38" s="4">
        <f t="shared" si="45"/>
        <v>3</v>
      </c>
      <c r="AE38" s="4">
        <f t="shared" si="46"/>
        <v>1</v>
      </c>
      <c r="AF38" s="4">
        <f t="shared" si="47"/>
        <v>0</v>
      </c>
      <c r="AG38" s="4">
        <f t="shared" si="48"/>
        <v>1</v>
      </c>
      <c r="AH38" s="4">
        <f t="shared" si="49"/>
        <v>0</v>
      </c>
      <c r="AI38" s="4">
        <f t="shared" si="50"/>
        <v>88</v>
      </c>
      <c r="AJ38" s="4">
        <f t="shared" si="51"/>
        <v>79</v>
      </c>
      <c r="AL38" s="4" t="str">
        <f t="shared" si="52"/>
        <v>Bélgica</v>
      </c>
      <c r="AM38" s="4">
        <f t="shared" si="53"/>
        <v>1</v>
      </c>
      <c r="AN38" s="4">
        <f t="shared" si="54"/>
        <v>1</v>
      </c>
      <c r="AO38" s="4">
        <f t="shared" si="55"/>
        <v>3</v>
      </c>
      <c r="AP38" s="4">
        <f t="shared" si="56"/>
        <v>0</v>
      </c>
      <c r="AQ38" s="4">
        <f t="shared" si="57"/>
        <v>1</v>
      </c>
      <c r="AR38" s="4">
        <f t="shared" si="58"/>
        <v>0</v>
      </c>
      <c r="AS38" s="4">
        <f t="shared" si="59"/>
        <v>79</v>
      </c>
      <c r="AT38" s="4">
        <f t="shared" si="60"/>
        <v>88</v>
      </c>
    </row>
    <row r="39" spans="2:64" x14ac:dyDescent="0.25">
      <c r="B39" s="17">
        <v>45814</v>
      </c>
      <c r="C39" s="25" t="s">
        <v>30</v>
      </c>
      <c r="D39" s="33">
        <v>3</v>
      </c>
      <c r="E39" s="11" t="s">
        <v>6</v>
      </c>
      <c r="F39" s="34">
        <v>0</v>
      </c>
      <c r="G39" s="21" t="s">
        <v>58</v>
      </c>
      <c r="H39" s="33">
        <v>25</v>
      </c>
      <c r="I39" s="11" t="s">
        <v>6</v>
      </c>
      <c r="J39" s="34">
        <v>23</v>
      </c>
      <c r="K39" s="33">
        <v>25</v>
      </c>
      <c r="L39" s="11" t="s">
        <v>6</v>
      </c>
      <c r="M39" s="34">
        <v>14</v>
      </c>
      <c r="N39" s="33">
        <v>25</v>
      </c>
      <c r="O39" s="11" t="s">
        <v>6</v>
      </c>
      <c r="P39" s="34">
        <v>22</v>
      </c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75</v>
      </c>
      <c r="X39" s="13" t="s">
        <v>6</v>
      </c>
      <c r="Y39" s="14">
        <f t="shared" si="62"/>
        <v>59</v>
      </c>
      <c r="AA39" s="4">
        <f t="shared" si="21"/>
        <v>3</v>
      </c>
      <c r="AB39" s="4" t="str">
        <f t="shared" si="43"/>
        <v>Turquia</v>
      </c>
      <c r="AC39" s="4">
        <f t="shared" si="44"/>
        <v>1</v>
      </c>
      <c r="AD39" s="4">
        <f t="shared" si="45"/>
        <v>3</v>
      </c>
      <c r="AE39" s="4">
        <f t="shared" si="46"/>
        <v>0</v>
      </c>
      <c r="AF39" s="4">
        <f t="shared" si="47"/>
        <v>1</v>
      </c>
      <c r="AG39" s="4">
        <f t="shared" si="48"/>
        <v>0</v>
      </c>
      <c r="AH39" s="4">
        <f t="shared" si="49"/>
        <v>0</v>
      </c>
      <c r="AI39" s="4">
        <f t="shared" si="50"/>
        <v>75</v>
      </c>
      <c r="AJ39" s="4">
        <f t="shared" si="51"/>
        <v>59</v>
      </c>
      <c r="AL39" s="4" t="str">
        <f t="shared" si="52"/>
        <v>Tailândia</v>
      </c>
      <c r="AM39" s="4">
        <f t="shared" si="53"/>
        <v>1</v>
      </c>
      <c r="AN39" s="4">
        <f t="shared" si="54"/>
        <v>0</v>
      </c>
      <c r="AO39" s="4">
        <f t="shared" si="55"/>
        <v>3</v>
      </c>
      <c r="AP39" s="4">
        <f t="shared" si="56"/>
        <v>0</v>
      </c>
      <c r="AQ39" s="4">
        <f t="shared" si="57"/>
        <v>0</v>
      </c>
      <c r="AR39" s="4">
        <f t="shared" si="58"/>
        <v>1</v>
      </c>
      <c r="AS39" s="4">
        <f t="shared" si="59"/>
        <v>59</v>
      </c>
      <c r="AT39" s="4">
        <f t="shared" si="60"/>
        <v>75</v>
      </c>
    </row>
    <row r="40" spans="2:64" x14ac:dyDescent="0.25">
      <c r="B40" s="17">
        <v>45815</v>
      </c>
      <c r="C40" s="25" t="s">
        <v>30</v>
      </c>
      <c r="D40" s="33">
        <v>3</v>
      </c>
      <c r="E40" s="11" t="s">
        <v>6</v>
      </c>
      <c r="F40" s="34">
        <v>2</v>
      </c>
      <c r="G40" s="21" t="s">
        <v>40</v>
      </c>
      <c r="H40" s="33">
        <v>25</v>
      </c>
      <c r="I40" s="11" t="s">
        <v>6</v>
      </c>
      <c r="J40" s="34">
        <v>21</v>
      </c>
      <c r="K40" s="33">
        <v>18</v>
      </c>
      <c r="L40" s="11" t="s">
        <v>6</v>
      </c>
      <c r="M40" s="34">
        <v>25</v>
      </c>
      <c r="N40" s="33">
        <v>25</v>
      </c>
      <c r="O40" s="11" t="s">
        <v>6</v>
      </c>
      <c r="P40" s="34">
        <v>23</v>
      </c>
      <c r="Q40" s="33">
        <v>22</v>
      </c>
      <c r="R40" s="11" t="s">
        <v>6</v>
      </c>
      <c r="S40" s="34">
        <v>25</v>
      </c>
      <c r="T40" s="33">
        <v>15</v>
      </c>
      <c r="U40" s="11" t="s">
        <v>6</v>
      </c>
      <c r="V40" s="34">
        <v>7</v>
      </c>
      <c r="W40" s="12">
        <f t="shared" si="61"/>
        <v>105</v>
      </c>
      <c r="X40" s="13" t="s">
        <v>6</v>
      </c>
      <c r="Y40" s="14">
        <f t="shared" si="62"/>
        <v>101</v>
      </c>
      <c r="AA40" s="4">
        <f t="shared" si="21"/>
        <v>5</v>
      </c>
      <c r="AB40" s="4" t="str">
        <f t="shared" si="43"/>
        <v>Turquia</v>
      </c>
      <c r="AC40" s="4">
        <f t="shared" si="44"/>
        <v>1</v>
      </c>
      <c r="AD40" s="4">
        <f t="shared" si="45"/>
        <v>3</v>
      </c>
      <c r="AE40" s="4">
        <f t="shared" si="46"/>
        <v>2</v>
      </c>
      <c r="AF40" s="4">
        <f t="shared" si="47"/>
        <v>0</v>
      </c>
      <c r="AG40" s="4">
        <f t="shared" si="48"/>
        <v>0</v>
      </c>
      <c r="AH40" s="4">
        <f t="shared" si="49"/>
        <v>1</v>
      </c>
      <c r="AI40" s="4">
        <f t="shared" si="50"/>
        <v>105</v>
      </c>
      <c r="AJ40" s="4">
        <f t="shared" si="51"/>
        <v>101</v>
      </c>
      <c r="AL40" s="4" t="str">
        <f t="shared" si="52"/>
        <v>Polônia</v>
      </c>
      <c r="AM40" s="4">
        <f t="shared" si="53"/>
        <v>1</v>
      </c>
      <c r="AN40" s="4">
        <f t="shared" si="54"/>
        <v>2</v>
      </c>
      <c r="AO40" s="4">
        <f t="shared" si="55"/>
        <v>3</v>
      </c>
      <c r="AP40" s="4">
        <f t="shared" si="56"/>
        <v>1</v>
      </c>
      <c r="AQ40" s="4">
        <f t="shared" si="57"/>
        <v>0</v>
      </c>
      <c r="AR40" s="4">
        <f t="shared" si="58"/>
        <v>0</v>
      </c>
      <c r="AS40" s="4">
        <f t="shared" si="59"/>
        <v>101</v>
      </c>
      <c r="AT40" s="4">
        <f t="shared" si="60"/>
        <v>105</v>
      </c>
    </row>
    <row r="41" spans="2:64" x14ac:dyDescent="0.25">
      <c r="B41" s="17">
        <v>45815</v>
      </c>
      <c r="C41" s="25" t="s">
        <v>53</v>
      </c>
      <c r="D41" s="33">
        <v>3</v>
      </c>
      <c r="E41" s="11" t="s">
        <v>6</v>
      </c>
      <c r="F41" s="34">
        <v>0</v>
      </c>
      <c r="G41" s="21" t="s">
        <v>41</v>
      </c>
      <c r="H41" s="33">
        <v>25</v>
      </c>
      <c r="I41" s="11" t="s">
        <v>6</v>
      </c>
      <c r="J41" s="34">
        <v>17</v>
      </c>
      <c r="K41" s="33">
        <v>25</v>
      </c>
      <c r="L41" s="11" t="s">
        <v>6</v>
      </c>
      <c r="M41" s="34">
        <v>18</v>
      </c>
      <c r="N41" s="33">
        <v>25</v>
      </c>
      <c r="O41" s="11" t="s">
        <v>6</v>
      </c>
      <c r="P41" s="34">
        <v>11</v>
      </c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75</v>
      </c>
      <c r="X41" s="13" t="s">
        <v>6</v>
      </c>
      <c r="Y41" s="14">
        <f t="shared" si="62"/>
        <v>46</v>
      </c>
      <c r="AA41" s="4">
        <f t="shared" si="21"/>
        <v>3</v>
      </c>
      <c r="AB41" s="4" t="str">
        <f t="shared" si="43"/>
        <v>China</v>
      </c>
      <c r="AC41" s="4">
        <f t="shared" si="44"/>
        <v>1</v>
      </c>
      <c r="AD41" s="4">
        <f t="shared" si="45"/>
        <v>3</v>
      </c>
      <c r="AE41" s="4">
        <f t="shared" si="46"/>
        <v>0</v>
      </c>
      <c r="AF41" s="4">
        <f t="shared" si="47"/>
        <v>1</v>
      </c>
      <c r="AG41" s="4">
        <f t="shared" si="48"/>
        <v>0</v>
      </c>
      <c r="AH41" s="4">
        <f t="shared" si="49"/>
        <v>0</v>
      </c>
      <c r="AI41" s="4">
        <f t="shared" si="50"/>
        <v>75</v>
      </c>
      <c r="AJ41" s="4">
        <f t="shared" si="51"/>
        <v>46</v>
      </c>
      <c r="AL41" s="4" t="str">
        <f t="shared" si="52"/>
        <v>França</v>
      </c>
      <c r="AM41" s="4">
        <f t="shared" si="53"/>
        <v>1</v>
      </c>
      <c r="AN41" s="4">
        <f t="shared" si="54"/>
        <v>0</v>
      </c>
      <c r="AO41" s="4">
        <f t="shared" si="55"/>
        <v>3</v>
      </c>
      <c r="AP41" s="4">
        <f t="shared" si="56"/>
        <v>0</v>
      </c>
      <c r="AQ41" s="4">
        <f t="shared" si="57"/>
        <v>0</v>
      </c>
      <c r="AR41" s="4">
        <f t="shared" si="58"/>
        <v>1</v>
      </c>
      <c r="AS41" s="4">
        <f t="shared" si="59"/>
        <v>46</v>
      </c>
      <c r="AT41" s="4">
        <f t="shared" si="60"/>
        <v>75</v>
      </c>
    </row>
    <row r="42" spans="2:64" x14ac:dyDescent="0.25">
      <c r="B42" s="17">
        <v>45816</v>
      </c>
      <c r="C42" s="25" t="s">
        <v>48</v>
      </c>
      <c r="D42" s="33">
        <v>0</v>
      </c>
      <c r="E42" s="11" t="s">
        <v>6</v>
      </c>
      <c r="F42" s="34">
        <v>3</v>
      </c>
      <c r="G42" s="21" t="s">
        <v>40</v>
      </c>
      <c r="H42" s="33">
        <v>11</v>
      </c>
      <c r="I42" s="11" t="s">
        <v>6</v>
      </c>
      <c r="J42" s="34">
        <v>25</v>
      </c>
      <c r="K42" s="33">
        <v>15</v>
      </c>
      <c r="L42" s="11" t="s">
        <v>6</v>
      </c>
      <c r="M42" s="34">
        <v>25</v>
      </c>
      <c r="N42" s="33">
        <v>25</v>
      </c>
      <c r="O42" s="11" t="s">
        <v>6</v>
      </c>
      <c r="P42" s="34">
        <v>27</v>
      </c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51</v>
      </c>
      <c r="X42" s="13" t="s">
        <v>6</v>
      </c>
      <c r="Y42" s="14">
        <f t="shared" si="62"/>
        <v>77</v>
      </c>
      <c r="AA42" s="4">
        <f t="shared" si="21"/>
        <v>3</v>
      </c>
      <c r="AB42" s="4" t="str">
        <f t="shared" si="43"/>
        <v>Polônia</v>
      </c>
      <c r="AC42" s="4">
        <f t="shared" si="44"/>
        <v>1</v>
      </c>
      <c r="AD42" s="4">
        <f t="shared" si="45"/>
        <v>3</v>
      </c>
      <c r="AE42" s="4">
        <f t="shared" si="46"/>
        <v>0</v>
      </c>
      <c r="AF42" s="4">
        <f t="shared" si="47"/>
        <v>1</v>
      </c>
      <c r="AG42" s="4">
        <f t="shared" si="48"/>
        <v>0</v>
      </c>
      <c r="AH42" s="4">
        <f t="shared" si="49"/>
        <v>0</v>
      </c>
      <c r="AI42" s="4">
        <f t="shared" si="50"/>
        <v>77</v>
      </c>
      <c r="AJ42" s="4">
        <f t="shared" si="51"/>
        <v>51</v>
      </c>
      <c r="AL42" s="4" t="str">
        <f t="shared" si="52"/>
        <v>Bélgica</v>
      </c>
      <c r="AM42" s="4">
        <f t="shared" si="53"/>
        <v>1</v>
      </c>
      <c r="AN42" s="4">
        <f t="shared" si="54"/>
        <v>0</v>
      </c>
      <c r="AO42" s="4">
        <f t="shared" si="55"/>
        <v>3</v>
      </c>
      <c r="AP42" s="4">
        <f t="shared" si="56"/>
        <v>0</v>
      </c>
      <c r="AQ42" s="4">
        <f t="shared" si="57"/>
        <v>0</v>
      </c>
      <c r="AR42" s="4">
        <f t="shared" si="58"/>
        <v>1</v>
      </c>
      <c r="AS42" s="4">
        <f t="shared" si="59"/>
        <v>51</v>
      </c>
      <c r="AT42" s="4">
        <f t="shared" si="60"/>
        <v>77</v>
      </c>
    </row>
    <row r="43" spans="2:64" x14ac:dyDescent="0.25">
      <c r="B43" s="17">
        <v>45816</v>
      </c>
      <c r="C43" s="25" t="s">
        <v>41</v>
      </c>
      <c r="D43" s="33">
        <v>1</v>
      </c>
      <c r="E43" s="11" t="s">
        <v>6</v>
      </c>
      <c r="F43" s="34">
        <v>3</v>
      </c>
      <c r="G43" s="21" t="s">
        <v>58</v>
      </c>
      <c r="H43" s="33">
        <v>14</v>
      </c>
      <c r="I43" s="11" t="s">
        <v>6</v>
      </c>
      <c r="J43" s="34">
        <v>25</v>
      </c>
      <c r="K43" s="33">
        <v>25</v>
      </c>
      <c r="L43" s="11" t="s">
        <v>6</v>
      </c>
      <c r="M43" s="34">
        <v>19</v>
      </c>
      <c r="N43" s="33">
        <v>23</v>
      </c>
      <c r="O43" s="11" t="s">
        <v>6</v>
      </c>
      <c r="P43" s="34">
        <v>25</v>
      </c>
      <c r="Q43" s="33">
        <v>13</v>
      </c>
      <c r="R43" s="11" t="s">
        <v>6</v>
      </c>
      <c r="S43" s="34">
        <v>25</v>
      </c>
      <c r="T43" s="33"/>
      <c r="U43" s="11" t="s">
        <v>6</v>
      </c>
      <c r="V43" s="34"/>
      <c r="W43" s="12">
        <f t="shared" si="61"/>
        <v>75</v>
      </c>
      <c r="X43" s="13" t="s">
        <v>6</v>
      </c>
      <c r="Y43" s="14">
        <f t="shared" si="62"/>
        <v>94</v>
      </c>
      <c r="AA43" s="4">
        <f t="shared" si="21"/>
        <v>4</v>
      </c>
      <c r="AB43" s="4" t="str">
        <f t="shared" si="43"/>
        <v>Tailândia</v>
      </c>
      <c r="AC43" s="4">
        <f t="shared" si="44"/>
        <v>1</v>
      </c>
      <c r="AD43" s="4">
        <f t="shared" si="45"/>
        <v>3</v>
      </c>
      <c r="AE43" s="4">
        <f t="shared" si="46"/>
        <v>1</v>
      </c>
      <c r="AF43" s="4">
        <f t="shared" si="47"/>
        <v>0</v>
      </c>
      <c r="AG43" s="4">
        <f t="shared" si="48"/>
        <v>1</v>
      </c>
      <c r="AH43" s="4">
        <f t="shared" si="49"/>
        <v>0</v>
      </c>
      <c r="AI43" s="4">
        <f t="shared" si="50"/>
        <v>94</v>
      </c>
      <c r="AJ43" s="4">
        <f t="shared" si="51"/>
        <v>75</v>
      </c>
      <c r="AL43" s="4" t="str">
        <f t="shared" si="52"/>
        <v>França</v>
      </c>
      <c r="AM43" s="4">
        <f t="shared" si="53"/>
        <v>1</v>
      </c>
      <c r="AN43" s="4">
        <f t="shared" si="54"/>
        <v>1</v>
      </c>
      <c r="AO43" s="4">
        <f t="shared" si="55"/>
        <v>3</v>
      </c>
      <c r="AP43" s="4">
        <f t="shared" si="56"/>
        <v>0</v>
      </c>
      <c r="AQ43" s="4">
        <f t="shared" si="57"/>
        <v>1</v>
      </c>
      <c r="AR43" s="4">
        <f t="shared" si="58"/>
        <v>0</v>
      </c>
      <c r="AS43" s="4">
        <f t="shared" si="59"/>
        <v>75</v>
      </c>
      <c r="AT43" s="4">
        <f t="shared" si="60"/>
        <v>94</v>
      </c>
    </row>
    <row r="44" spans="2:64" x14ac:dyDescent="0.25">
      <c r="B44" s="17">
        <v>45816</v>
      </c>
      <c r="C44" s="25" t="s">
        <v>53</v>
      </c>
      <c r="D44" s="33">
        <v>2</v>
      </c>
      <c r="E44" s="11" t="s">
        <v>6</v>
      </c>
      <c r="F44" s="34">
        <v>3</v>
      </c>
      <c r="G44" s="21" t="s">
        <v>30</v>
      </c>
      <c r="H44" s="33">
        <v>25</v>
      </c>
      <c r="I44" s="11" t="s">
        <v>6</v>
      </c>
      <c r="J44" s="34">
        <v>19</v>
      </c>
      <c r="K44" s="33">
        <v>20</v>
      </c>
      <c r="L44" s="11" t="s">
        <v>6</v>
      </c>
      <c r="M44" s="34">
        <v>25</v>
      </c>
      <c r="N44" s="33">
        <v>31</v>
      </c>
      <c r="O44" s="11" t="s">
        <v>6</v>
      </c>
      <c r="P44" s="34">
        <v>29</v>
      </c>
      <c r="Q44" s="33">
        <v>26</v>
      </c>
      <c r="R44" s="11" t="s">
        <v>6</v>
      </c>
      <c r="S44" s="34">
        <v>28</v>
      </c>
      <c r="T44" s="33">
        <v>12</v>
      </c>
      <c r="U44" s="11" t="s">
        <v>6</v>
      </c>
      <c r="V44" s="34">
        <v>15</v>
      </c>
      <c r="W44" s="12">
        <f t="shared" si="61"/>
        <v>114</v>
      </c>
      <c r="X44" s="13" t="s">
        <v>6</v>
      </c>
      <c r="Y44" s="14">
        <f t="shared" si="62"/>
        <v>116</v>
      </c>
      <c r="AA44" s="4">
        <f t="shared" si="21"/>
        <v>5</v>
      </c>
      <c r="AB44" s="4" t="str">
        <f t="shared" si="43"/>
        <v>Turquia</v>
      </c>
      <c r="AC44" s="4">
        <f t="shared" si="44"/>
        <v>1</v>
      </c>
      <c r="AD44" s="4">
        <f t="shared" si="45"/>
        <v>3</v>
      </c>
      <c r="AE44" s="4">
        <f t="shared" si="46"/>
        <v>2</v>
      </c>
      <c r="AF44" s="4">
        <f t="shared" si="47"/>
        <v>0</v>
      </c>
      <c r="AG44" s="4">
        <f t="shared" si="48"/>
        <v>0</v>
      </c>
      <c r="AH44" s="4">
        <f t="shared" si="49"/>
        <v>1</v>
      </c>
      <c r="AI44" s="4">
        <f t="shared" si="50"/>
        <v>116</v>
      </c>
      <c r="AJ44" s="4">
        <f t="shared" si="51"/>
        <v>114</v>
      </c>
      <c r="AL44" s="4" t="str">
        <f t="shared" si="52"/>
        <v>China</v>
      </c>
      <c r="AM44" s="4">
        <f t="shared" si="53"/>
        <v>1</v>
      </c>
      <c r="AN44" s="4">
        <f t="shared" si="54"/>
        <v>2</v>
      </c>
      <c r="AO44" s="4">
        <f t="shared" si="55"/>
        <v>3</v>
      </c>
      <c r="AP44" s="4">
        <f t="shared" si="56"/>
        <v>1</v>
      </c>
      <c r="AQ44" s="4">
        <f t="shared" si="57"/>
        <v>0</v>
      </c>
      <c r="AR44" s="4">
        <f t="shared" si="58"/>
        <v>0</v>
      </c>
      <c r="AS44" s="4">
        <f t="shared" si="59"/>
        <v>114</v>
      </c>
      <c r="AT44" s="4">
        <f t="shared" si="60"/>
        <v>116</v>
      </c>
    </row>
    <row r="46" spans="2:64" ht="15" x14ac:dyDescent="0.25">
      <c r="B46" s="70" t="s">
        <v>68</v>
      </c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AU46" s="60" t="s">
        <v>79</v>
      </c>
      <c r="AV46" s="61"/>
      <c r="AW46" s="62"/>
      <c r="AX46" s="60" t="s">
        <v>14</v>
      </c>
      <c r="AY46" s="61"/>
      <c r="AZ46" s="62"/>
      <c r="BA46" s="60" t="s">
        <v>60</v>
      </c>
      <c r="BB46" s="61"/>
      <c r="BC46" s="61"/>
      <c r="BD46" s="61"/>
      <c r="BE46" s="61"/>
      <c r="BF46" s="62"/>
      <c r="BG46" s="60" t="s">
        <v>61</v>
      </c>
      <c r="BH46" s="61"/>
      <c r="BI46" s="62"/>
      <c r="BJ46" s="60" t="s">
        <v>62</v>
      </c>
      <c r="BK46" s="61"/>
      <c r="BL46" s="62"/>
    </row>
    <row r="47" spans="2:64" ht="14.25" x14ac:dyDescent="0.25">
      <c r="B47" s="66" t="s">
        <v>13</v>
      </c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AU47" s="32" t="s">
        <v>43</v>
      </c>
      <c r="AV47" s="32" t="s">
        <v>44</v>
      </c>
      <c r="AW47" s="32" t="s">
        <v>45</v>
      </c>
      <c r="AX47" s="32" t="s">
        <v>76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77</v>
      </c>
      <c r="BI47" s="32" t="s">
        <v>78</v>
      </c>
      <c r="BJ47" s="32" t="s">
        <v>20</v>
      </c>
      <c r="BK47" s="32" t="s">
        <v>77</v>
      </c>
      <c r="BL47" s="32" t="s">
        <v>78</v>
      </c>
    </row>
    <row r="48" spans="2:64" x14ac:dyDescent="0.25">
      <c r="B48" s="16" t="s">
        <v>2</v>
      </c>
      <c r="C48" s="24"/>
      <c r="D48" s="67" t="s">
        <v>3</v>
      </c>
      <c r="E48" s="67"/>
      <c r="F48" s="67"/>
      <c r="G48" s="20"/>
      <c r="H48" s="68" t="s">
        <v>4</v>
      </c>
      <c r="I48" s="68"/>
      <c r="J48" s="68"/>
      <c r="K48" s="68" t="s">
        <v>5</v>
      </c>
      <c r="L48" s="68"/>
      <c r="M48" s="68"/>
      <c r="N48" s="68" t="s">
        <v>7</v>
      </c>
      <c r="O48" s="68"/>
      <c r="P48" s="68"/>
      <c r="Q48" s="68" t="s">
        <v>8</v>
      </c>
      <c r="R48" s="68"/>
      <c r="S48" s="68"/>
      <c r="T48" s="68" t="s">
        <v>9</v>
      </c>
      <c r="U48" s="68"/>
      <c r="V48" s="68"/>
      <c r="W48" s="68" t="s">
        <v>10</v>
      </c>
      <c r="X48" s="68"/>
      <c r="Y48" s="68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Itália</v>
      </c>
      <c r="AW48" s="28">
        <f>VLOOKUP($AU48,Dummy!$A:$R,3,FALSE)</f>
        <v>22</v>
      </c>
      <c r="AX48" s="28">
        <f>VLOOKUP($AU48,Dummy!$A:$R,4,FALSE)</f>
        <v>8</v>
      </c>
      <c r="AY48" s="28">
        <f>VLOOKUP($AU48,Dummy!$A:$R,5,FALSE)</f>
        <v>8</v>
      </c>
      <c r="AZ48" s="28">
        <f>VLOOKUP($AU48,Dummy!$A:$R,6,FALSE)</f>
        <v>0</v>
      </c>
      <c r="BA48" s="28">
        <f>VLOOKUP($AU48,Dummy!$A:$R,7,FALSE)</f>
        <v>5</v>
      </c>
      <c r="BB48" s="28">
        <f>VLOOKUP($AU48,Dummy!$A:$R,8,FALSE)</f>
        <v>1</v>
      </c>
      <c r="BC48" s="28">
        <f>VLOOKUP($AU48,Dummy!$A:$R,9,FALSE)</f>
        <v>2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24</v>
      </c>
      <c r="BH48" s="28">
        <f>VLOOKUP($AU48,Dummy!$A:$R,14,FALSE)</f>
        <v>5</v>
      </c>
      <c r="BI48" s="29">
        <f>VLOOKUP($AU48,Dummy!$A:$R,15,FALSE)</f>
        <v>4800</v>
      </c>
      <c r="BJ48" s="28">
        <f>VLOOKUP($AU48,Dummy!$A:$R,16,FALSE)</f>
        <v>701</v>
      </c>
      <c r="BK48" s="28">
        <f>VLOOKUP($AU48,Dummy!$A:$R,17,FALSE)</f>
        <v>542</v>
      </c>
      <c r="BL48" s="29">
        <f>VLOOKUP($AU48,Dummy!$A:$R,18,FALSE)</f>
        <v>1293.3579335793356</v>
      </c>
    </row>
    <row r="49" spans="2:64" x14ac:dyDescent="0.25">
      <c r="B49" s="17">
        <v>45826</v>
      </c>
      <c r="C49" s="25" t="s">
        <v>54</v>
      </c>
      <c r="D49" s="33">
        <v>3</v>
      </c>
      <c r="E49" s="11" t="s">
        <v>6</v>
      </c>
      <c r="F49" s="34">
        <v>2</v>
      </c>
      <c r="G49" s="21" t="s">
        <v>51</v>
      </c>
      <c r="H49" s="33">
        <v>27</v>
      </c>
      <c r="I49" s="11" t="s">
        <v>6</v>
      </c>
      <c r="J49" s="34">
        <v>25</v>
      </c>
      <c r="K49" s="33">
        <v>25</v>
      </c>
      <c r="L49" s="11" t="s">
        <v>6</v>
      </c>
      <c r="M49" s="34">
        <v>18</v>
      </c>
      <c r="N49" s="33">
        <v>15</v>
      </c>
      <c r="O49" s="11" t="s">
        <v>6</v>
      </c>
      <c r="P49" s="34">
        <v>25</v>
      </c>
      <c r="Q49" s="33">
        <v>20</v>
      </c>
      <c r="R49" s="11" t="s">
        <v>6</v>
      </c>
      <c r="S49" s="34">
        <v>25</v>
      </c>
      <c r="T49" s="33">
        <v>15</v>
      </c>
      <c r="U49" s="11" t="s">
        <v>6</v>
      </c>
      <c r="V49" s="34">
        <v>13</v>
      </c>
      <c r="W49" s="12">
        <f>SUM(H49,K49,N49,Q49,T49)</f>
        <v>102</v>
      </c>
      <c r="X49" s="13" t="s">
        <v>6</v>
      </c>
      <c r="Y49" s="14">
        <f>SUM(J49,M49,P49,S49,V49)</f>
        <v>106</v>
      </c>
      <c r="AA49" s="4">
        <f>AD49+AE49</f>
        <v>5</v>
      </c>
      <c r="AB49" s="4" t="str">
        <f>IF(OR(D49="",F49=""),0,IF(D49&gt;F49,C49,G49))</f>
        <v>Coreia do Sul</v>
      </c>
      <c r="AC49" s="4">
        <f>IF(OR(D49="",F49=""),0,1)</f>
        <v>1</v>
      </c>
      <c r="AD49" s="4">
        <f>IF(OR(D49="",F49=""),0,IF(D49&gt;F49,D49,F49))</f>
        <v>3</v>
      </c>
      <c r="AE49" s="4">
        <f>IF(OR(D49="",F49=""),0,IF(D49&gt;F49,F49,D49))</f>
        <v>2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1</v>
      </c>
      <c r="AI49" s="4">
        <f>IF(D49&gt;F49,SUM(H49,K49,N49,Q49,T49,),SUM(J49,M49,P49,S49,V49))</f>
        <v>102</v>
      </c>
      <c r="AJ49" s="4">
        <f>IF(D49&gt;F49,SUM(J49,M49,P49,S49,V49),SUM(H49,K49,N49,Q49,T49))</f>
        <v>106</v>
      </c>
      <c r="AL49" s="4" t="str">
        <f>IF(OR(D49="",F49=""),0,IF(D49&lt;F49,C49,G49))</f>
        <v>Canadá</v>
      </c>
      <c r="AM49" s="4">
        <f>IF(OR(D49="",F49=""),0,1)</f>
        <v>1</v>
      </c>
      <c r="AN49" s="4">
        <f>IF(OR(D49="",F49=""),0,IF(D49&lt;F49,D49,F49))</f>
        <v>2</v>
      </c>
      <c r="AO49" s="4">
        <f>IF(OR(D49="",F49=""),0,IF(D49&lt;F49,F49,D49))</f>
        <v>3</v>
      </c>
      <c r="AP49" s="4">
        <f>IF(AND(AN49=2,AO49=3),1,0)</f>
        <v>1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106</v>
      </c>
      <c r="AT49" s="4">
        <f>IF(D49&lt;F49,SUM(J49,M49,P49,S49,V49),SUM(H49,K49,N49,Q49,T49))</f>
        <v>102</v>
      </c>
      <c r="AU49" s="31">
        <v>2</v>
      </c>
      <c r="AV49" s="30" t="str">
        <f>VLOOKUP($AU49,Dummy!$A:$R,2,FALSE)</f>
        <v>Polônia</v>
      </c>
      <c r="AW49" s="28">
        <f>VLOOKUP($AU49,Dummy!$A:$R,3,FALSE)</f>
        <v>21</v>
      </c>
      <c r="AX49" s="28">
        <f>VLOOKUP($AU49,Dummy!$A:$R,4,FALSE)</f>
        <v>8</v>
      </c>
      <c r="AY49" s="28">
        <f>VLOOKUP($AU49,Dummy!$A:$R,5,FALSE)</f>
        <v>7</v>
      </c>
      <c r="AZ49" s="28">
        <f>VLOOKUP($AU49,Dummy!$A:$R,6,FALSE)</f>
        <v>1</v>
      </c>
      <c r="BA49" s="28">
        <f>VLOOKUP($AU49,Dummy!$A:$R,7,FALSE)</f>
        <v>3</v>
      </c>
      <c r="BB49" s="28">
        <f>VLOOKUP($AU49,Dummy!$A:$R,8,FALSE)</f>
        <v>3</v>
      </c>
      <c r="BC49" s="28">
        <f>VLOOKUP($AU49,Dummy!$A:$R,9,FALSE)</f>
        <v>1</v>
      </c>
      <c r="BD49" s="28">
        <f>VLOOKUP($AU49,Dummy!$A:$R,10,FALSE)</f>
        <v>1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23</v>
      </c>
      <c r="BH49" s="28">
        <f>VLOOKUP($AU49,Dummy!$A:$R,14,FALSE)</f>
        <v>8</v>
      </c>
      <c r="BI49" s="29">
        <f>VLOOKUP($AU49,Dummy!$A:$R,15,FALSE)</f>
        <v>2875</v>
      </c>
      <c r="BJ49" s="28">
        <f>VLOOKUP($AU49,Dummy!$A:$R,16,FALSE)</f>
        <v>715</v>
      </c>
      <c r="BK49" s="28">
        <f>VLOOKUP($AU49,Dummy!$A:$R,17,FALSE)</f>
        <v>631</v>
      </c>
      <c r="BL49" s="29">
        <f>VLOOKUP($AU49,Dummy!$A:$R,18,FALSE)</f>
        <v>1133.1220285261491</v>
      </c>
    </row>
    <row r="50" spans="2:64" x14ac:dyDescent="0.25">
      <c r="B50" s="17">
        <v>45826</v>
      </c>
      <c r="C50" s="25" t="s">
        <v>48</v>
      </c>
      <c r="D50" s="33">
        <v>1</v>
      </c>
      <c r="E50" s="11" t="s">
        <v>6</v>
      </c>
      <c r="F50" s="34">
        <v>3</v>
      </c>
      <c r="G50" s="21" t="s">
        <v>49</v>
      </c>
      <c r="H50" s="33">
        <v>22</v>
      </c>
      <c r="I50" s="11" t="s">
        <v>6</v>
      </c>
      <c r="J50" s="34">
        <v>25</v>
      </c>
      <c r="K50" s="33">
        <v>26</v>
      </c>
      <c r="L50" s="11" t="s">
        <v>6</v>
      </c>
      <c r="M50" s="34">
        <v>24</v>
      </c>
      <c r="N50" s="33">
        <v>16</v>
      </c>
      <c r="O50" s="11" t="s">
        <v>6</v>
      </c>
      <c r="P50" s="34">
        <v>25</v>
      </c>
      <c r="Q50" s="33">
        <v>15</v>
      </c>
      <c r="R50" s="11" t="s">
        <v>6</v>
      </c>
      <c r="S50" s="34">
        <v>25</v>
      </c>
      <c r="T50" s="33"/>
      <c r="U50" s="11" t="s">
        <v>6</v>
      </c>
      <c r="V50" s="34"/>
      <c r="W50" s="12">
        <f t="shared" ref="W50:W60" si="63">SUM(H50,K50,N50,Q50,T50)</f>
        <v>79</v>
      </c>
      <c r="X50" s="13" t="s">
        <v>6</v>
      </c>
      <c r="Y50" s="14">
        <f t="shared" ref="Y50:Y60" si="64">SUM(J50,M50,P50,S50,V50)</f>
        <v>99</v>
      </c>
      <c r="AA50" s="4">
        <f t="shared" ref="AA50:AA60" si="65">AD50+AE50</f>
        <v>4</v>
      </c>
      <c r="AB50" s="4" t="str">
        <f t="shared" ref="AB50:AB60" si="66">IF(OR(D50="",F50=""),0,IF(D50&gt;F50,C50,G50))</f>
        <v>Brasil</v>
      </c>
      <c r="AC50" s="4">
        <f t="shared" ref="AC50:AC60" si="67">IF(OR(D50="",F50=""),0,1)</f>
        <v>1</v>
      </c>
      <c r="AD50" s="4">
        <f t="shared" ref="AD50:AD60" si="68">IF(OR(D50="",F50=""),0,IF(D50&gt;F50,D50,F50))</f>
        <v>3</v>
      </c>
      <c r="AE50" s="4">
        <f t="shared" ref="AE50:AE60" si="69">IF(OR(D50="",F50=""),0,IF(D50&gt;F50,F50,D50))</f>
        <v>1</v>
      </c>
      <c r="AF50" s="4">
        <f t="shared" ref="AF50:AF60" si="70">IF(AND(AD50=3,AE50=0),1,0)</f>
        <v>0</v>
      </c>
      <c r="AG50" s="4">
        <f t="shared" ref="AG50:AG60" si="71">IF(AND(AD50=3,AE50=1),1,0)</f>
        <v>1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99</v>
      </c>
      <c r="AJ50" s="4">
        <f t="shared" ref="AJ50:AJ60" si="74">IF(D50&gt;F50,SUM(J50,M50,P50,S50,V50),SUM(H50,K50,N50,Q50,T50))</f>
        <v>79</v>
      </c>
      <c r="AL50" s="4" t="str">
        <f t="shared" ref="AL50:AL60" si="75">IF(OR(D50="",F50=""),0,IF(D50&lt;F50,C50,G50))</f>
        <v>Bélgica</v>
      </c>
      <c r="AM50" s="4">
        <f t="shared" ref="AM50:AM60" si="76">IF(OR(D50="",F50=""),0,1)</f>
        <v>1</v>
      </c>
      <c r="AN50" s="4">
        <f t="shared" ref="AN50:AN60" si="77">IF(OR(D50="",F50=""),0,IF(D50&lt;F50,D50,F50))</f>
        <v>1</v>
      </c>
      <c r="AO50" s="4">
        <f t="shared" ref="AO50:AO60" si="78">IF(OR(D50="",F50=""),0,IF(D50&lt;F50,F50,D50))</f>
        <v>3</v>
      </c>
      <c r="AP50" s="4">
        <f t="shared" ref="AP50:AP60" si="79">IF(AND(AN50=2,AO50=3),1,0)</f>
        <v>0</v>
      </c>
      <c r="AQ50" s="4">
        <f t="shared" ref="AQ50:AQ60" si="80">IF(AND(AN50=1,AO50=3),1,0)</f>
        <v>1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79</v>
      </c>
      <c r="AT50" s="4">
        <f t="shared" ref="AT50:AT60" si="83">IF(D50&lt;F50,SUM(J50,M50,P50,S50,V50),SUM(H50,K50,N50,Q50,T50))</f>
        <v>99</v>
      </c>
      <c r="AU50" s="31">
        <v>3</v>
      </c>
      <c r="AV50" s="30" t="str">
        <f>VLOOKUP($AU50,Dummy!$A:$R,2,FALSE)</f>
        <v>Brasil</v>
      </c>
      <c r="AW50" s="28">
        <f>VLOOKUP($AU50,Dummy!$A:$R,3,FALSE)</f>
        <v>20</v>
      </c>
      <c r="AX50" s="28">
        <f>VLOOKUP($AU50,Dummy!$A:$R,4,FALSE)</f>
        <v>8</v>
      </c>
      <c r="AY50" s="28">
        <f>VLOOKUP($AU50,Dummy!$A:$R,5,FALSE)</f>
        <v>7</v>
      </c>
      <c r="AZ50" s="28">
        <f>VLOOKUP($AU50,Dummy!$A:$R,6,FALSE)</f>
        <v>1</v>
      </c>
      <c r="BA50" s="28">
        <f>VLOOKUP($AU50,Dummy!$A:$R,7,FALSE)</f>
        <v>4</v>
      </c>
      <c r="BB50" s="28">
        <f>VLOOKUP($AU50,Dummy!$A:$R,8,FALSE)</f>
        <v>2</v>
      </c>
      <c r="BC50" s="28">
        <f>VLOOKUP($AU50,Dummy!$A:$R,9,FALSE)</f>
        <v>1</v>
      </c>
      <c r="BD50" s="28">
        <f>VLOOKUP($AU50,Dummy!$A:$R,10,FALSE)</f>
        <v>0</v>
      </c>
      <c r="BE50" s="28">
        <f>VLOOKUP($AU50,Dummy!$A:$R,11,FALSE)</f>
        <v>0</v>
      </c>
      <c r="BF50" s="28">
        <f>VLOOKUP($AU50,Dummy!$A:$R,12,FALSE)</f>
        <v>1</v>
      </c>
      <c r="BG50" s="28">
        <f>VLOOKUP($AU50,Dummy!$A:$R,13,FALSE)</f>
        <v>21</v>
      </c>
      <c r="BH50" s="28">
        <f>VLOOKUP($AU50,Dummy!$A:$R,14,FALSE)</f>
        <v>7</v>
      </c>
      <c r="BI50" s="29">
        <f>VLOOKUP($AU50,Dummy!$A:$R,15,FALSE)</f>
        <v>3000</v>
      </c>
      <c r="BJ50" s="28">
        <f>VLOOKUP($AU50,Dummy!$A:$R,16,FALSE)</f>
        <v>673</v>
      </c>
      <c r="BK50" s="28">
        <f>VLOOKUP($AU50,Dummy!$A:$R,17,FALSE)</f>
        <v>579</v>
      </c>
      <c r="BL50" s="29">
        <f>VLOOKUP($AU50,Dummy!$A:$R,18,FALSE)</f>
        <v>1162.348877374784</v>
      </c>
    </row>
    <row r="51" spans="2:64" x14ac:dyDescent="0.25">
      <c r="B51" s="17">
        <v>45826</v>
      </c>
      <c r="C51" s="25" t="s">
        <v>56</v>
      </c>
      <c r="D51" s="33">
        <v>0</v>
      </c>
      <c r="E51" s="11" t="s">
        <v>6</v>
      </c>
      <c r="F51" s="34">
        <v>3</v>
      </c>
      <c r="G51" s="21" t="s">
        <v>30</v>
      </c>
      <c r="H51" s="33">
        <v>25</v>
      </c>
      <c r="I51" s="11" t="s">
        <v>6</v>
      </c>
      <c r="J51" s="34">
        <v>27</v>
      </c>
      <c r="K51" s="33">
        <v>19</v>
      </c>
      <c r="L51" s="11" t="s">
        <v>6</v>
      </c>
      <c r="M51" s="34">
        <v>25</v>
      </c>
      <c r="N51" s="33">
        <v>26</v>
      </c>
      <c r="O51" s="11" t="s">
        <v>6</v>
      </c>
      <c r="P51" s="34">
        <v>28</v>
      </c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70</v>
      </c>
      <c r="X51" s="13" t="s">
        <v>6</v>
      </c>
      <c r="Y51" s="14">
        <f t="shared" si="64"/>
        <v>80</v>
      </c>
      <c r="AA51" s="4">
        <f t="shared" si="65"/>
        <v>3</v>
      </c>
      <c r="AB51" s="4" t="str">
        <f t="shared" si="66"/>
        <v>Turquia</v>
      </c>
      <c r="AC51" s="4">
        <f t="shared" si="67"/>
        <v>1</v>
      </c>
      <c r="AD51" s="4">
        <f t="shared" si="68"/>
        <v>3</v>
      </c>
      <c r="AE51" s="4">
        <f t="shared" si="69"/>
        <v>0</v>
      </c>
      <c r="AF51" s="4">
        <f t="shared" si="70"/>
        <v>1</v>
      </c>
      <c r="AG51" s="4">
        <f t="shared" si="71"/>
        <v>0</v>
      </c>
      <c r="AH51" s="4">
        <f t="shared" si="72"/>
        <v>0</v>
      </c>
      <c r="AI51" s="4">
        <f t="shared" si="73"/>
        <v>80</v>
      </c>
      <c r="AJ51" s="4">
        <f t="shared" si="74"/>
        <v>70</v>
      </c>
      <c r="AL51" s="4" t="str">
        <f t="shared" si="75"/>
        <v>República Dominicana</v>
      </c>
      <c r="AM51" s="4">
        <f t="shared" si="76"/>
        <v>1</v>
      </c>
      <c r="AN51" s="4">
        <f t="shared" si="77"/>
        <v>0</v>
      </c>
      <c r="AO51" s="4">
        <f t="shared" si="78"/>
        <v>3</v>
      </c>
      <c r="AP51" s="4">
        <f t="shared" si="79"/>
        <v>0</v>
      </c>
      <c r="AQ51" s="4">
        <f t="shared" si="80"/>
        <v>0</v>
      </c>
      <c r="AR51" s="4">
        <f t="shared" si="81"/>
        <v>1</v>
      </c>
      <c r="AS51" s="4">
        <f t="shared" si="82"/>
        <v>70</v>
      </c>
      <c r="AT51" s="4">
        <f t="shared" si="83"/>
        <v>80</v>
      </c>
      <c r="AU51" s="31">
        <v>4</v>
      </c>
      <c r="AV51" s="30" t="str">
        <f>VLOOKUP($AU51,Dummy!$A:$R,2,FALSE)</f>
        <v>Turquia</v>
      </c>
      <c r="AW51" s="28">
        <f>VLOOKUP($AU51,Dummy!$A:$R,3,FALSE)</f>
        <v>19</v>
      </c>
      <c r="AX51" s="28">
        <f>VLOOKUP($AU51,Dummy!$A:$R,4,FALSE)</f>
        <v>8</v>
      </c>
      <c r="AY51" s="28">
        <f>VLOOKUP($AU51,Dummy!$A:$R,5,FALSE)</f>
        <v>7</v>
      </c>
      <c r="AZ51" s="28">
        <f>VLOOKUP($AU51,Dummy!$A:$R,6,FALSE)</f>
        <v>1</v>
      </c>
      <c r="BA51" s="28">
        <f>VLOOKUP($AU51,Dummy!$A:$R,7,FALSE)</f>
        <v>4</v>
      </c>
      <c r="BB51" s="28">
        <f>VLOOKUP($AU51,Dummy!$A:$R,8,FALSE)</f>
        <v>1</v>
      </c>
      <c r="BC51" s="28">
        <f>VLOOKUP($AU51,Dummy!$A:$R,9,FALSE)</f>
        <v>2</v>
      </c>
      <c r="BD51" s="28">
        <f>VLOOKUP($AU51,Dummy!$A:$R,10,FALSE)</f>
        <v>0</v>
      </c>
      <c r="BE51" s="28">
        <f>VLOOKUP($AU51,Dummy!$A:$R,11,FALSE)</f>
        <v>1</v>
      </c>
      <c r="BF51" s="28">
        <f>VLOOKUP($AU51,Dummy!$A:$R,12,FALSE)</f>
        <v>0</v>
      </c>
      <c r="BG51" s="28">
        <f>VLOOKUP($AU51,Dummy!$A:$R,13,FALSE)</f>
        <v>22</v>
      </c>
      <c r="BH51" s="28">
        <f>VLOOKUP($AU51,Dummy!$A:$R,14,FALSE)</f>
        <v>8</v>
      </c>
      <c r="BI51" s="29">
        <f>VLOOKUP($AU51,Dummy!$A:$R,15,FALSE)</f>
        <v>2750</v>
      </c>
      <c r="BJ51" s="28">
        <f>VLOOKUP($AU51,Dummy!$A:$R,16,FALSE)</f>
        <v>706</v>
      </c>
      <c r="BK51" s="28">
        <f>VLOOKUP($AU51,Dummy!$A:$R,17,FALSE)</f>
        <v>610</v>
      </c>
      <c r="BL51" s="29">
        <f>VLOOKUP($AU51,Dummy!$A:$R,18,FALSE)</f>
        <v>1157.377049180328</v>
      </c>
    </row>
    <row r="52" spans="2:64" x14ac:dyDescent="0.25">
      <c r="B52" s="17">
        <v>45827</v>
      </c>
      <c r="C52" s="25" t="s">
        <v>48</v>
      </c>
      <c r="D52" s="33">
        <v>0</v>
      </c>
      <c r="E52" s="11" t="s">
        <v>6</v>
      </c>
      <c r="F52" s="34">
        <v>3</v>
      </c>
      <c r="G52" s="21" t="s">
        <v>56</v>
      </c>
      <c r="H52" s="33">
        <v>14</v>
      </c>
      <c r="I52" s="11" t="s">
        <v>6</v>
      </c>
      <c r="J52" s="34">
        <v>25</v>
      </c>
      <c r="K52" s="33">
        <v>18</v>
      </c>
      <c r="L52" s="11" t="s">
        <v>6</v>
      </c>
      <c r="M52" s="34">
        <v>25</v>
      </c>
      <c r="N52" s="33">
        <v>25</v>
      </c>
      <c r="O52" s="11" t="s">
        <v>6</v>
      </c>
      <c r="P52" s="34">
        <v>27</v>
      </c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57</v>
      </c>
      <c r="X52" s="13" t="s">
        <v>6</v>
      </c>
      <c r="Y52" s="14">
        <f t="shared" si="64"/>
        <v>77</v>
      </c>
      <c r="AA52" s="4">
        <f t="shared" si="65"/>
        <v>3</v>
      </c>
      <c r="AB52" s="4" t="str">
        <f t="shared" si="66"/>
        <v>República Dominicana</v>
      </c>
      <c r="AC52" s="4">
        <f t="shared" si="67"/>
        <v>1</v>
      </c>
      <c r="AD52" s="4">
        <f t="shared" si="68"/>
        <v>3</v>
      </c>
      <c r="AE52" s="4">
        <f t="shared" si="69"/>
        <v>0</v>
      </c>
      <c r="AF52" s="4">
        <f t="shared" si="70"/>
        <v>1</v>
      </c>
      <c r="AG52" s="4">
        <f t="shared" si="71"/>
        <v>0</v>
      </c>
      <c r="AH52" s="4">
        <f t="shared" si="72"/>
        <v>0</v>
      </c>
      <c r="AI52" s="4">
        <f t="shared" si="73"/>
        <v>77</v>
      </c>
      <c r="AJ52" s="4">
        <f t="shared" si="74"/>
        <v>57</v>
      </c>
      <c r="AL52" s="4" t="str">
        <f t="shared" si="75"/>
        <v>Bélgica</v>
      </c>
      <c r="AM52" s="4">
        <f t="shared" si="76"/>
        <v>1</v>
      </c>
      <c r="AN52" s="4">
        <f t="shared" si="77"/>
        <v>0</v>
      </c>
      <c r="AO52" s="4">
        <f t="shared" si="78"/>
        <v>3</v>
      </c>
      <c r="AP52" s="4">
        <f t="shared" si="79"/>
        <v>0</v>
      </c>
      <c r="AQ52" s="4">
        <f t="shared" si="80"/>
        <v>0</v>
      </c>
      <c r="AR52" s="4">
        <f t="shared" si="81"/>
        <v>1</v>
      </c>
      <c r="AS52" s="4">
        <f t="shared" si="82"/>
        <v>57</v>
      </c>
      <c r="AT52" s="4">
        <f t="shared" si="83"/>
        <v>77</v>
      </c>
      <c r="AU52" s="31">
        <v>5</v>
      </c>
      <c r="AV52" s="30" t="str">
        <f>VLOOKUP($AU52,Dummy!$A:$R,2,FALSE)</f>
        <v>Japão</v>
      </c>
      <c r="AW52" s="28">
        <f>VLOOKUP($AU52,Dummy!$A:$R,3,FALSE)</f>
        <v>18</v>
      </c>
      <c r="AX52" s="28">
        <f>VLOOKUP($AU52,Dummy!$A:$R,4,FALSE)</f>
        <v>8</v>
      </c>
      <c r="AY52" s="28">
        <f>VLOOKUP($AU52,Dummy!$A:$R,5,FALSE)</f>
        <v>6</v>
      </c>
      <c r="AZ52" s="28">
        <f>VLOOKUP($AU52,Dummy!$A:$R,6,FALSE)</f>
        <v>2</v>
      </c>
      <c r="BA52" s="28">
        <f>VLOOKUP($AU52,Dummy!$A:$R,7,FALSE)</f>
        <v>5</v>
      </c>
      <c r="BB52" s="28">
        <f>VLOOKUP($AU52,Dummy!$A:$R,8,FALSE)</f>
        <v>0</v>
      </c>
      <c r="BC52" s="28">
        <f>VLOOKUP($AU52,Dummy!$A:$R,9,FALSE)</f>
        <v>1</v>
      </c>
      <c r="BD52" s="28">
        <f>VLOOKUP($AU52,Dummy!$A:$R,10,FALSE)</f>
        <v>1</v>
      </c>
      <c r="BE52" s="28">
        <f>VLOOKUP($AU52,Dummy!$A:$R,11,FALSE)</f>
        <v>1</v>
      </c>
      <c r="BF52" s="28">
        <f>VLOOKUP($AU52,Dummy!$A:$R,12,FALSE)</f>
        <v>0</v>
      </c>
      <c r="BG52" s="28">
        <f>VLOOKUP($AU52,Dummy!$A:$R,13,FALSE)</f>
        <v>21</v>
      </c>
      <c r="BH52" s="28">
        <f>VLOOKUP($AU52,Dummy!$A:$R,14,FALSE)</f>
        <v>8</v>
      </c>
      <c r="BI52" s="29">
        <f>VLOOKUP($AU52,Dummy!$A:$R,15,FALSE)</f>
        <v>2625</v>
      </c>
      <c r="BJ52" s="28">
        <f>VLOOKUP($AU52,Dummy!$A:$R,16,FALSE)</f>
        <v>661</v>
      </c>
      <c r="BK52" s="28">
        <f>VLOOKUP($AU52,Dummy!$A:$R,17,FALSE)</f>
        <v>566</v>
      </c>
      <c r="BL52" s="29">
        <f>VLOOKUP($AU52,Dummy!$A:$R,18,FALSE)</f>
        <v>1167.8445229681979</v>
      </c>
    </row>
    <row r="53" spans="2:64" x14ac:dyDescent="0.25">
      <c r="B53" s="17">
        <v>45827</v>
      </c>
      <c r="C53" s="25" t="s">
        <v>51</v>
      </c>
      <c r="D53" s="33">
        <v>0</v>
      </c>
      <c r="E53" s="11" t="s">
        <v>6</v>
      </c>
      <c r="F53" s="34">
        <v>3</v>
      </c>
      <c r="G53" s="21" t="s">
        <v>30</v>
      </c>
      <c r="H53" s="33">
        <v>16</v>
      </c>
      <c r="I53" s="11" t="s">
        <v>6</v>
      </c>
      <c r="J53" s="34">
        <v>25</v>
      </c>
      <c r="K53" s="33">
        <v>18</v>
      </c>
      <c r="L53" s="11" t="s">
        <v>6</v>
      </c>
      <c r="M53" s="34">
        <v>25</v>
      </c>
      <c r="N53" s="33">
        <v>24</v>
      </c>
      <c r="O53" s="11" t="s">
        <v>6</v>
      </c>
      <c r="P53" s="34">
        <v>26</v>
      </c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58</v>
      </c>
      <c r="X53" s="13" t="s">
        <v>6</v>
      </c>
      <c r="Y53" s="14">
        <f t="shared" si="64"/>
        <v>76</v>
      </c>
      <c r="AA53" s="4">
        <f t="shared" si="65"/>
        <v>3</v>
      </c>
      <c r="AB53" s="4" t="str">
        <f t="shared" si="66"/>
        <v>Turquia</v>
      </c>
      <c r="AC53" s="4">
        <f t="shared" si="67"/>
        <v>1</v>
      </c>
      <c r="AD53" s="4">
        <f t="shared" si="68"/>
        <v>3</v>
      </c>
      <c r="AE53" s="4">
        <f t="shared" si="69"/>
        <v>0</v>
      </c>
      <c r="AF53" s="4">
        <f t="shared" si="70"/>
        <v>1</v>
      </c>
      <c r="AG53" s="4">
        <f t="shared" si="71"/>
        <v>0</v>
      </c>
      <c r="AH53" s="4">
        <f t="shared" si="72"/>
        <v>0</v>
      </c>
      <c r="AI53" s="4">
        <f t="shared" si="73"/>
        <v>76</v>
      </c>
      <c r="AJ53" s="4">
        <f t="shared" si="74"/>
        <v>58</v>
      </c>
      <c r="AL53" s="4" t="str">
        <f t="shared" si="75"/>
        <v>Canadá</v>
      </c>
      <c r="AM53" s="4">
        <f t="shared" si="76"/>
        <v>1</v>
      </c>
      <c r="AN53" s="4">
        <f t="shared" si="77"/>
        <v>0</v>
      </c>
      <c r="AO53" s="4">
        <f t="shared" si="78"/>
        <v>3</v>
      </c>
      <c r="AP53" s="4">
        <f t="shared" si="79"/>
        <v>0</v>
      </c>
      <c r="AQ53" s="4">
        <f t="shared" si="80"/>
        <v>0</v>
      </c>
      <c r="AR53" s="4">
        <f t="shared" si="81"/>
        <v>1</v>
      </c>
      <c r="AS53" s="4">
        <f t="shared" si="82"/>
        <v>58</v>
      </c>
      <c r="AT53" s="4">
        <f t="shared" si="83"/>
        <v>76</v>
      </c>
      <c r="AU53" s="31">
        <v>6</v>
      </c>
      <c r="AV53" s="30" t="str">
        <f>VLOOKUP($AU53,Dummy!$A:$R,2,FALSE)</f>
        <v>China</v>
      </c>
      <c r="AW53" s="28">
        <f>VLOOKUP($AU53,Dummy!$A:$R,3,FALSE)</f>
        <v>15</v>
      </c>
      <c r="AX53" s="28">
        <f>VLOOKUP($AU53,Dummy!$A:$R,4,FALSE)</f>
        <v>8</v>
      </c>
      <c r="AY53" s="28">
        <f>VLOOKUP($AU53,Dummy!$A:$R,5,FALSE)</f>
        <v>5</v>
      </c>
      <c r="AZ53" s="28">
        <f>VLOOKUP($AU53,Dummy!$A:$R,6,FALSE)</f>
        <v>3</v>
      </c>
      <c r="BA53" s="28">
        <f>VLOOKUP($AU53,Dummy!$A:$R,7,FALSE)</f>
        <v>2</v>
      </c>
      <c r="BB53" s="28">
        <f>VLOOKUP($AU53,Dummy!$A:$R,8,FALSE)</f>
        <v>2</v>
      </c>
      <c r="BC53" s="28">
        <f>VLOOKUP($AU53,Dummy!$A:$R,9,FALSE)</f>
        <v>1</v>
      </c>
      <c r="BD53" s="28">
        <f>VLOOKUP($AU53,Dummy!$A:$R,10,FALSE)</f>
        <v>1</v>
      </c>
      <c r="BE53" s="28">
        <f>VLOOKUP($AU53,Dummy!$A:$R,11,FALSE)</f>
        <v>1</v>
      </c>
      <c r="BF53" s="28">
        <f>VLOOKUP($AU53,Dummy!$A:$R,12,FALSE)</f>
        <v>1</v>
      </c>
      <c r="BG53" s="28">
        <f>VLOOKUP($AU53,Dummy!$A:$R,13,FALSE)</f>
        <v>18</v>
      </c>
      <c r="BH53" s="28">
        <f>VLOOKUP($AU53,Dummy!$A:$R,14,FALSE)</f>
        <v>13</v>
      </c>
      <c r="BI53" s="29">
        <f>VLOOKUP($AU53,Dummy!$A:$R,15,FALSE)</f>
        <v>1384.6153846153845</v>
      </c>
      <c r="BJ53" s="28">
        <f>VLOOKUP($AU53,Dummy!$A:$R,16,FALSE)</f>
        <v>722</v>
      </c>
      <c r="BK53" s="28">
        <f>VLOOKUP($AU53,Dummy!$A:$R,17,FALSE)</f>
        <v>659</v>
      </c>
      <c r="BL53" s="29">
        <f>VLOOKUP($AU53,Dummy!$A:$R,18,FALSE)</f>
        <v>1095.5993930197267</v>
      </c>
    </row>
    <row r="54" spans="2:64" x14ac:dyDescent="0.25">
      <c r="B54" s="17">
        <v>45828</v>
      </c>
      <c r="C54" s="25" t="s">
        <v>54</v>
      </c>
      <c r="D54" s="33">
        <v>1</v>
      </c>
      <c r="E54" s="11" t="s">
        <v>6</v>
      </c>
      <c r="F54" s="34">
        <v>3</v>
      </c>
      <c r="G54" s="21" t="s">
        <v>48</v>
      </c>
      <c r="H54" s="33">
        <v>16</v>
      </c>
      <c r="I54" s="11" t="s">
        <v>6</v>
      </c>
      <c r="J54" s="34">
        <v>25</v>
      </c>
      <c r="K54" s="33">
        <v>25</v>
      </c>
      <c r="L54" s="11" t="s">
        <v>6</v>
      </c>
      <c r="M54" s="34">
        <v>20</v>
      </c>
      <c r="N54" s="33">
        <v>29</v>
      </c>
      <c r="O54" s="11" t="s">
        <v>6</v>
      </c>
      <c r="P54" s="34">
        <v>31</v>
      </c>
      <c r="Q54" s="33">
        <v>12</v>
      </c>
      <c r="R54" s="11" t="s">
        <v>6</v>
      </c>
      <c r="S54" s="34">
        <v>25</v>
      </c>
      <c r="T54" s="33"/>
      <c r="U54" s="11" t="s">
        <v>6</v>
      </c>
      <c r="V54" s="34"/>
      <c r="W54" s="12">
        <f t="shared" si="63"/>
        <v>82</v>
      </c>
      <c r="X54" s="13" t="s">
        <v>6</v>
      </c>
      <c r="Y54" s="14">
        <f t="shared" si="64"/>
        <v>101</v>
      </c>
      <c r="AA54" s="4">
        <f t="shared" si="65"/>
        <v>4</v>
      </c>
      <c r="AB54" s="4" t="str">
        <f t="shared" si="66"/>
        <v>Bélgica</v>
      </c>
      <c r="AC54" s="4">
        <f t="shared" si="67"/>
        <v>1</v>
      </c>
      <c r="AD54" s="4">
        <f t="shared" si="68"/>
        <v>3</v>
      </c>
      <c r="AE54" s="4">
        <f t="shared" si="69"/>
        <v>1</v>
      </c>
      <c r="AF54" s="4">
        <f t="shared" si="70"/>
        <v>0</v>
      </c>
      <c r="AG54" s="4">
        <f t="shared" si="71"/>
        <v>1</v>
      </c>
      <c r="AH54" s="4">
        <f t="shared" si="72"/>
        <v>0</v>
      </c>
      <c r="AI54" s="4">
        <f t="shared" si="73"/>
        <v>101</v>
      </c>
      <c r="AJ54" s="4">
        <f t="shared" si="74"/>
        <v>82</v>
      </c>
      <c r="AL54" s="4" t="str">
        <f t="shared" si="75"/>
        <v>Coreia do Sul</v>
      </c>
      <c r="AM54" s="4">
        <f t="shared" si="76"/>
        <v>1</v>
      </c>
      <c r="AN54" s="4">
        <f t="shared" si="77"/>
        <v>1</v>
      </c>
      <c r="AO54" s="4">
        <f t="shared" si="78"/>
        <v>3</v>
      </c>
      <c r="AP54" s="4">
        <f t="shared" si="79"/>
        <v>0</v>
      </c>
      <c r="AQ54" s="4">
        <f t="shared" si="80"/>
        <v>1</v>
      </c>
      <c r="AR54" s="4">
        <f t="shared" si="81"/>
        <v>0</v>
      </c>
      <c r="AS54" s="4">
        <f t="shared" si="82"/>
        <v>82</v>
      </c>
      <c r="AT54" s="4">
        <f t="shared" si="83"/>
        <v>101</v>
      </c>
      <c r="AU54" s="31">
        <v>7</v>
      </c>
      <c r="AV54" s="30" t="str">
        <f>VLOOKUP($AU54,Dummy!$A:$R,2,FALSE)</f>
        <v>Alemanha</v>
      </c>
      <c r="AW54" s="28">
        <f>VLOOKUP($AU54,Dummy!$A:$R,3,FALSE)</f>
        <v>14</v>
      </c>
      <c r="AX54" s="28">
        <f>VLOOKUP($AU54,Dummy!$A:$R,4,FALSE)</f>
        <v>8</v>
      </c>
      <c r="AY54" s="28">
        <f>VLOOKUP($AU54,Dummy!$A:$R,5,FALSE)</f>
        <v>4</v>
      </c>
      <c r="AZ54" s="28">
        <f>VLOOKUP($AU54,Dummy!$A:$R,6,FALSE)</f>
        <v>4</v>
      </c>
      <c r="BA54" s="28">
        <f>VLOOKUP($AU54,Dummy!$A:$R,7,FALSE)</f>
        <v>1</v>
      </c>
      <c r="BB54" s="28">
        <f>VLOOKUP($AU54,Dummy!$A:$R,8,FALSE)</f>
        <v>2</v>
      </c>
      <c r="BC54" s="28">
        <f>VLOOKUP($AU54,Dummy!$A:$R,9,FALSE)</f>
        <v>1</v>
      </c>
      <c r="BD54" s="28">
        <f>VLOOKUP($AU54,Dummy!$A:$R,10,FALSE)</f>
        <v>3</v>
      </c>
      <c r="BE54" s="28">
        <f>VLOOKUP($AU54,Dummy!$A:$R,11,FALSE)</f>
        <v>0</v>
      </c>
      <c r="BF54" s="28">
        <f>VLOOKUP($AU54,Dummy!$A:$R,12,FALSE)</f>
        <v>1</v>
      </c>
      <c r="BG54" s="28">
        <f>VLOOKUP($AU54,Dummy!$A:$R,13,FALSE)</f>
        <v>18</v>
      </c>
      <c r="BH54" s="28">
        <f>VLOOKUP($AU54,Dummy!$A:$R,14,FALSE)</f>
        <v>16</v>
      </c>
      <c r="BI54" s="29">
        <f>VLOOKUP($AU54,Dummy!$A:$R,15,FALSE)</f>
        <v>1125</v>
      </c>
      <c r="BJ54" s="28">
        <f>VLOOKUP($AU54,Dummy!$A:$R,16,FALSE)</f>
        <v>721</v>
      </c>
      <c r="BK54" s="28">
        <f>VLOOKUP($AU54,Dummy!$A:$R,17,FALSE)</f>
        <v>738</v>
      </c>
      <c r="BL54" s="29">
        <f>VLOOKUP($AU54,Dummy!$A:$R,18,FALSE)</f>
        <v>976.96476964769647</v>
      </c>
    </row>
    <row r="55" spans="2:64" x14ac:dyDescent="0.25">
      <c r="B55" s="17">
        <v>45828</v>
      </c>
      <c r="C55" s="25" t="s">
        <v>51</v>
      </c>
      <c r="D55" s="33">
        <v>0</v>
      </c>
      <c r="E55" s="11" t="s">
        <v>6</v>
      </c>
      <c r="F55" s="34">
        <v>3</v>
      </c>
      <c r="G55" s="21" t="s">
        <v>49</v>
      </c>
      <c r="H55" s="33">
        <v>20</v>
      </c>
      <c r="I55" s="11" t="s">
        <v>6</v>
      </c>
      <c r="J55" s="34">
        <v>25</v>
      </c>
      <c r="K55" s="33">
        <v>23</v>
      </c>
      <c r="L55" s="11" t="s">
        <v>6</v>
      </c>
      <c r="M55" s="34">
        <v>25</v>
      </c>
      <c r="N55" s="33">
        <v>23</v>
      </c>
      <c r="O55" s="11" t="s">
        <v>6</v>
      </c>
      <c r="P55" s="34">
        <v>25</v>
      </c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66</v>
      </c>
      <c r="X55" s="13" t="s">
        <v>6</v>
      </c>
      <c r="Y55" s="14">
        <f t="shared" si="64"/>
        <v>75</v>
      </c>
      <c r="AA55" s="4">
        <f t="shared" si="65"/>
        <v>3</v>
      </c>
      <c r="AB55" s="4" t="str">
        <f t="shared" si="66"/>
        <v>Brasil</v>
      </c>
      <c r="AC55" s="4">
        <f t="shared" si="67"/>
        <v>1</v>
      </c>
      <c r="AD55" s="4">
        <f t="shared" si="68"/>
        <v>3</v>
      </c>
      <c r="AE55" s="4">
        <f t="shared" si="69"/>
        <v>0</v>
      </c>
      <c r="AF55" s="4">
        <f t="shared" si="70"/>
        <v>1</v>
      </c>
      <c r="AG55" s="4">
        <f t="shared" si="71"/>
        <v>0</v>
      </c>
      <c r="AH55" s="4">
        <f t="shared" si="72"/>
        <v>0</v>
      </c>
      <c r="AI55" s="4">
        <f t="shared" si="73"/>
        <v>75</v>
      </c>
      <c r="AJ55" s="4">
        <f t="shared" si="74"/>
        <v>66</v>
      </c>
      <c r="AL55" s="4" t="str">
        <f t="shared" si="75"/>
        <v>Canadá</v>
      </c>
      <c r="AM55" s="4">
        <f t="shared" si="76"/>
        <v>1</v>
      </c>
      <c r="AN55" s="4">
        <f t="shared" si="77"/>
        <v>0</v>
      </c>
      <c r="AO55" s="4">
        <f t="shared" si="78"/>
        <v>3</v>
      </c>
      <c r="AP55" s="4">
        <f t="shared" si="79"/>
        <v>0</v>
      </c>
      <c r="AQ55" s="4">
        <f t="shared" si="80"/>
        <v>0</v>
      </c>
      <c r="AR55" s="4">
        <f t="shared" si="81"/>
        <v>1</v>
      </c>
      <c r="AS55" s="4">
        <f t="shared" si="82"/>
        <v>66</v>
      </c>
      <c r="AT55" s="4">
        <f t="shared" si="83"/>
        <v>75</v>
      </c>
      <c r="AU55" s="31">
        <v>8</v>
      </c>
      <c r="AV55" s="30" t="str">
        <f>VLOOKUP($AU55,Dummy!$A:$R,2,FALSE)</f>
        <v>Estados Unidos</v>
      </c>
      <c r="AW55" s="28">
        <f>VLOOKUP($AU55,Dummy!$A:$R,3,FALSE)</f>
        <v>11</v>
      </c>
      <c r="AX55" s="28">
        <f>VLOOKUP($AU55,Dummy!$A:$R,4,FALSE)</f>
        <v>8</v>
      </c>
      <c r="AY55" s="28">
        <f>VLOOKUP($AU55,Dummy!$A:$R,5,FALSE)</f>
        <v>4</v>
      </c>
      <c r="AZ55" s="28">
        <f>VLOOKUP($AU55,Dummy!$A:$R,6,FALSE)</f>
        <v>4</v>
      </c>
      <c r="BA55" s="28">
        <f>VLOOKUP($AU55,Dummy!$A:$R,7,FALSE)</f>
        <v>2</v>
      </c>
      <c r="BB55" s="28">
        <f>VLOOKUP($AU55,Dummy!$A:$R,8,FALSE)</f>
        <v>0</v>
      </c>
      <c r="BC55" s="28">
        <f>VLOOKUP($AU55,Dummy!$A:$R,9,FALSE)</f>
        <v>2</v>
      </c>
      <c r="BD55" s="28">
        <f>VLOOKUP($AU55,Dummy!$A:$R,10,FALSE)</f>
        <v>1</v>
      </c>
      <c r="BE55" s="28">
        <f>VLOOKUP($AU55,Dummy!$A:$R,11,FALSE)</f>
        <v>1</v>
      </c>
      <c r="BF55" s="28">
        <f>VLOOKUP($AU55,Dummy!$A:$R,12,FALSE)</f>
        <v>2</v>
      </c>
      <c r="BG55" s="28">
        <f>VLOOKUP($AU55,Dummy!$A:$R,13,FALSE)</f>
        <v>15</v>
      </c>
      <c r="BH55" s="28">
        <f>VLOOKUP($AU55,Dummy!$A:$R,14,FALSE)</f>
        <v>16</v>
      </c>
      <c r="BI55" s="29">
        <f>VLOOKUP($AU55,Dummy!$A:$R,15,FALSE)</f>
        <v>937.5</v>
      </c>
      <c r="BJ55" s="28">
        <f>VLOOKUP($AU55,Dummy!$A:$R,16,FALSE)</f>
        <v>669</v>
      </c>
      <c r="BK55" s="28">
        <f>VLOOKUP($AU55,Dummy!$A:$R,17,FALSE)</f>
        <v>697</v>
      </c>
      <c r="BL55" s="29">
        <f>VLOOKUP($AU55,Dummy!$A:$R,18,FALSE)</f>
        <v>959.82783357245341</v>
      </c>
    </row>
    <row r="56" spans="2:64" x14ac:dyDescent="0.25">
      <c r="B56" s="17">
        <v>45829</v>
      </c>
      <c r="C56" s="25" t="s">
        <v>56</v>
      </c>
      <c r="D56" s="33">
        <v>0</v>
      </c>
      <c r="E56" s="11" t="s">
        <v>6</v>
      </c>
      <c r="F56" s="34">
        <v>3</v>
      </c>
      <c r="G56" s="21" t="s">
        <v>49</v>
      </c>
      <c r="H56" s="33">
        <v>23</v>
      </c>
      <c r="I56" s="11" t="s">
        <v>6</v>
      </c>
      <c r="J56" s="34">
        <v>25</v>
      </c>
      <c r="K56" s="33">
        <v>18</v>
      </c>
      <c r="L56" s="11" t="s">
        <v>6</v>
      </c>
      <c r="M56" s="34">
        <v>25</v>
      </c>
      <c r="N56" s="33">
        <v>20</v>
      </c>
      <c r="O56" s="11" t="s">
        <v>6</v>
      </c>
      <c r="P56" s="34">
        <v>25</v>
      </c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61</v>
      </c>
      <c r="X56" s="13" t="s">
        <v>6</v>
      </c>
      <c r="Y56" s="14">
        <f t="shared" si="64"/>
        <v>75</v>
      </c>
      <c r="AA56" s="4">
        <f t="shared" si="65"/>
        <v>3</v>
      </c>
      <c r="AB56" s="4" t="str">
        <f t="shared" si="66"/>
        <v>Brasil</v>
      </c>
      <c r="AC56" s="4">
        <f t="shared" si="67"/>
        <v>1</v>
      </c>
      <c r="AD56" s="4">
        <f t="shared" si="68"/>
        <v>3</v>
      </c>
      <c r="AE56" s="4">
        <f t="shared" si="69"/>
        <v>0</v>
      </c>
      <c r="AF56" s="4">
        <f t="shared" si="70"/>
        <v>1</v>
      </c>
      <c r="AG56" s="4">
        <f t="shared" si="71"/>
        <v>0</v>
      </c>
      <c r="AH56" s="4">
        <f t="shared" si="72"/>
        <v>0</v>
      </c>
      <c r="AI56" s="4">
        <f t="shared" si="73"/>
        <v>75</v>
      </c>
      <c r="AJ56" s="4">
        <f t="shared" si="74"/>
        <v>61</v>
      </c>
      <c r="AL56" s="4" t="str">
        <f t="shared" si="75"/>
        <v>República Dominicana</v>
      </c>
      <c r="AM56" s="4">
        <f t="shared" si="76"/>
        <v>1</v>
      </c>
      <c r="AN56" s="4">
        <f t="shared" si="77"/>
        <v>0</v>
      </c>
      <c r="AO56" s="4">
        <f t="shared" si="78"/>
        <v>3</v>
      </c>
      <c r="AP56" s="4">
        <f t="shared" si="79"/>
        <v>0</v>
      </c>
      <c r="AQ56" s="4">
        <f t="shared" si="80"/>
        <v>0</v>
      </c>
      <c r="AR56" s="4">
        <f t="shared" si="81"/>
        <v>1</v>
      </c>
      <c r="AS56" s="4">
        <f t="shared" si="82"/>
        <v>61</v>
      </c>
      <c r="AT56" s="4">
        <f t="shared" si="83"/>
        <v>75</v>
      </c>
      <c r="AU56" s="31">
        <v>9</v>
      </c>
      <c r="AV56" s="30" t="str">
        <f>VLOOKUP($AU56,Dummy!$A:$R,2,FALSE)</f>
        <v>República Dominicana</v>
      </c>
      <c r="AW56" s="28">
        <f>VLOOKUP($AU56,Dummy!$A:$R,3,FALSE)</f>
        <v>9</v>
      </c>
      <c r="AX56" s="28">
        <f>VLOOKUP($AU56,Dummy!$A:$R,4,FALSE)</f>
        <v>8</v>
      </c>
      <c r="AY56" s="28">
        <f>VLOOKUP($AU56,Dummy!$A:$R,5,FALSE)</f>
        <v>4</v>
      </c>
      <c r="AZ56" s="28">
        <f>VLOOKUP($AU56,Dummy!$A:$R,6,FALSE)</f>
        <v>4</v>
      </c>
      <c r="BA56" s="28">
        <f>VLOOKUP($AU56,Dummy!$A:$R,7,FALSE)</f>
        <v>1</v>
      </c>
      <c r="BB56" s="28">
        <f>VLOOKUP($AU56,Dummy!$A:$R,8,FALSE)</f>
        <v>0</v>
      </c>
      <c r="BC56" s="28">
        <f>VLOOKUP($AU56,Dummy!$A:$R,9,FALSE)</f>
        <v>3</v>
      </c>
      <c r="BD56" s="28">
        <f>VLOOKUP($AU56,Dummy!$A:$R,10,FALSE)</f>
        <v>0</v>
      </c>
      <c r="BE56" s="28">
        <f>VLOOKUP($AU56,Dummy!$A:$R,11,FALSE)</f>
        <v>1</v>
      </c>
      <c r="BF56" s="28">
        <f>VLOOKUP($AU56,Dummy!$A:$R,12,FALSE)</f>
        <v>3</v>
      </c>
      <c r="BG56" s="28">
        <f>VLOOKUP($AU56,Dummy!$A:$R,13,FALSE)</f>
        <v>13</v>
      </c>
      <c r="BH56" s="28">
        <f>VLOOKUP($AU56,Dummy!$A:$R,14,FALSE)</f>
        <v>18</v>
      </c>
      <c r="BI56" s="29">
        <f>VLOOKUP($AU56,Dummy!$A:$R,15,FALSE)</f>
        <v>722.22222222222217</v>
      </c>
      <c r="BJ56" s="28">
        <f>VLOOKUP($AU56,Dummy!$A:$R,16,FALSE)</f>
        <v>698</v>
      </c>
      <c r="BK56" s="28">
        <f>VLOOKUP($AU56,Dummy!$A:$R,17,FALSE)</f>
        <v>726</v>
      </c>
      <c r="BL56" s="29">
        <f>VLOOKUP($AU56,Dummy!$A:$R,18,FALSE)</f>
        <v>961.43250688705234</v>
      </c>
    </row>
    <row r="57" spans="2:64" x14ac:dyDescent="0.25">
      <c r="B57" s="17">
        <v>45829</v>
      </c>
      <c r="C57" s="25" t="s">
        <v>54</v>
      </c>
      <c r="D57" s="33">
        <v>0</v>
      </c>
      <c r="E57" s="11" t="s">
        <v>6</v>
      </c>
      <c r="F57" s="34">
        <v>3</v>
      </c>
      <c r="G57" s="21" t="s">
        <v>30</v>
      </c>
      <c r="H57" s="33">
        <v>11</v>
      </c>
      <c r="I57" s="11" t="s">
        <v>6</v>
      </c>
      <c r="J57" s="34">
        <v>25</v>
      </c>
      <c r="K57" s="33">
        <v>13</v>
      </c>
      <c r="L57" s="11" t="s">
        <v>6</v>
      </c>
      <c r="M57" s="34">
        <v>25</v>
      </c>
      <c r="N57" s="33">
        <v>17</v>
      </c>
      <c r="O57" s="11" t="s">
        <v>6</v>
      </c>
      <c r="P57" s="34">
        <v>25</v>
      </c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41</v>
      </c>
      <c r="X57" s="13" t="s">
        <v>6</v>
      </c>
      <c r="Y57" s="14">
        <f t="shared" si="64"/>
        <v>75</v>
      </c>
      <c r="AA57" s="4">
        <f t="shared" si="65"/>
        <v>3</v>
      </c>
      <c r="AB57" s="4" t="str">
        <f t="shared" si="66"/>
        <v>Turquia</v>
      </c>
      <c r="AC57" s="4">
        <f t="shared" si="67"/>
        <v>1</v>
      </c>
      <c r="AD57" s="4">
        <f t="shared" si="68"/>
        <v>3</v>
      </c>
      <c r="AE57" s="4">
        <f t="shared" si="69"/>
        <v>0</v>
      </c>
      <c r="AF57" s="4">
        <f t="shared" si="70"/>
        <v>1</v>
      </c>
      <c r="AG57" s="4">
        <f t="shared" si="71"/>
        <v>0</v>
      </c>
      <c r="AH57" s="4">
        <f t="shared" si="72"/>
        <v>0</v>
      </c>
      <c r="AI57" s="4">
        <f t="shared" si="73"/>
        <v>75</v>
      </c>
      <c r="AJ57" s="4">
        <f t="shared" si="74"/>
        <v>41</v>
      </c>
      <c r="AL57" s="4" t="str">
        <f t="shared" si="75"/>
        <v>Coreia do Sul</v>
      </c>
      <c r="AM57" s="4">
        <f t="shared" si="76"/>
        <v>1</v>
      </c>
      <c r="AN57" s="4">
        <f t="shared" si="77"/>
        <v>0</v>
      </c>
      <c r="AO57" s="4">
        <f t="shared" si="78"/>
        <v>3</v>
      </c>
      <c r="AP57" s="4">
        <f t="shared" si="79"/>
        <v>0</v>
      </c>
      <c r="AQ57" s="4">
        <f t="shared" si="80"/>
        <v>0</v>
      </c>
      <c r="AR57" s="4">
        <f t="shared" si="81"/>
        <v>1</v>
      </c>
      <c r="AS57" s="4">
        <f t="shared" si="82"/>
        <v>41</v>
      </c>
      <c r="AT57" s="4">
        <f t="shared" si="83"/>
        <v>75</v>
      </c>
      <c r="AU57" s="31">
        <v>10</v>
      </c>
      <c r="AV57" s="30" t="str">
        <f>VLOOKUP($AU57,Dummy!$A:$R,2,FALSE)</f>
        <v>França</v>
      </c>
      <c r="AW57" s="28">
        <f>VLOOKUP($AU57,Dummy!$A:$R,3,FALSE)</f>
        <v>10</v>
      </c>
      <c r="AX57" s="28">
        <f>VLOOKUP($AU57,Dummy!$A:$R,4,FALSE)</f>
        <v>8</v>
      </c>
      <c r="AY57" s="28">
        <f>VLOOKUP($AU57,Dummy!$A:$R,5,FALSE)</f>
        <v>3</v>
      </c>
      <c r="AZ57" s="28">
        <f>VLOOKUP($AU57,Dummy!$A:$R,6,FALSE)</f>
        <v>5</v>
      </c>
      <c r="BA57" s="28">
        <f>VLOOKUP($AU57,Dummy!$A:$R,7,FALSE)</f>
        <v>1</v>
      </c>
      <c r="BB57" s="28">
        <f>VLOOKUP($AU57,Dummy!$A:$R,8,FALSE)</f>
        <v>1</v>
      </c>
      <c r="BC57" s="28">
        <f>VLOOKUP($AU57,Dummy!$A:$R,9,FALSE)</f>
        <v>1</v>
      </c>
      <c r="BD57" s="28">
        <f>VLOOKUP($AU57,Dummy!$A:$R,10,FALSE)</f>
        <v>2</v>
      </c>
      <c r="BE57" s="28">
        <f>VLOOKUP($AU57,Dummy!$A:$R,11,FALSE)</f>
        <v>2</v>
      </c>
      <c r="BF57" s="28">
        <f>VLOOKUP($AU57,Dummy!$A:$R,12,FALSE)</f>
        <v>1</v>
      </c>
      <c r="BG57" s="28">
        <f>VLOOKUP($AU57,Dummy!$A:$R,13,FALSE)</f>
        <v>15</v>
      </c>
      <c r="BH57" s="28">
        <f>VLOOKUP($AU57,Dummy!$A:$R,14,FALSE)</f>
        <v>18</v>
      </c>
      <c r="BI57" s="29">
        <f>VLOOKUP($AU57,Dummy!$A:$R,15,FALSE)</f>
        <v>833.33333333333337</v>
      </c>
      <c r="BJ57" s="28">
        <f>VLOOKUP($AU57,Dummy!$A:$R,16,FALSE)</f>
        <v>678</v>
      </c>
      <c r="BK57" s="28">
        <f>VLOOKUP($AU57,Dummy!$A:$R,17,FALSE)</f>
        <v>719</v>
      </c>
      <c r="BL57" s="29">
        <f>VLOOKUP($AU57,Dummy!$A:$R,18,FALSE)</f>
        <v>942.97635605006963</v>
      </c>
    </row>
    <row r="58" spans="2:64" x14ac:dyDescent="0.25">
      <c r="B58" s="17">
        <v>45830</v>
      </c>
      <c r="C58" s="25" t="s">
        <v>48</v>
      </c>
      <c r="D58" s="33">
        <v>3</v>
      </c>
      <c r="E58" s="11" t="s">
        <v>6</v>
      </c>
      <c r="F58" s="34">
        <v>2</v>
      </c>
      <c r="G58" s="21" t="s">
        <v>51</v>
      </c>
      <c r="H58" s="33">
        <v>22</v>
      </c>
      <c r="I58" s="11" t="s">
        <v>6</v>
      </c>
      <c r="J58" s="34">
        <v>25</v>
      </c>
      <c r="K58" s="33">
        <v>25</v>
      </c>
      <c r="L58" s="11" t="s">
        <v>6</v>
      </c>
      <c r="M58" s="34">
        <v>13</v>
      </c>
      <c r="N58" s="33">
        <v>21</v>
      </c>
      <c r="O58" s="11" t="s">
        <v>6</v>
      </c>
      <c r="P58" s="34">
        <v>25</v>
      </c>
      <c r="Q58" s="33">
        <v>25</v>
      </c>
      <c r="R58" s="11" t="s">
        <v>6</v>
      </c>
      <c r="S58" s="34">
        <v>22</v>
      </c>
      <c r="T58" s="33">
        <v>18</v>
      </c>
      <c r="U58" s="11" t="s">
        <v>6</v>
      </c>
      <c r="V58" s="34">
        <v>16</v>
      </c>
      <c r="W58" s="12">
        <f t="shared" si="63"/>
        <v>111</v>
      </c>
      <c r="X58" s="13" t="s">
        <v>6</v>
      </c>
      <c r="Y58" s="14">
        <f t="shared" si="64"/>
        <v>101</v>
      </c>
      <c r="AA58" s="4">
        <f t="shared" si="65"/>
        <v>5</v>
      </c>
      <c r="AB58" s="4" t="str">
        <f t="shared" si="66"/>
        <v>Bélgica</v>
      </c>
      <c r="AC58" s="4">
        <f t="shared" si="67"/>
        <v>1</v>
      </c>
      <c r="AD58" s="4">
        <f t="shared" si="68"/>
        <v>3</v>
      </c>
      <c r="AE58" s="4">
        <f t="shared" si="69"/>
        <v>2</v>
      </c>
      <c r="AF58" s="4">
        <f t="shared" si="70"/>
        <v>0</v>
      </c>
      <c r="AG58" s="4">
        <f t="shared" si="71"/>
        <v>0</v>
      </c>
      <c r="AH58" s="4">
        <f t="shared" si="72"/>
        <v>1</v>
      </c>
      <c r="AI58" s="4">
        <f t="shared" si="73"/>
        <v>111</v>
      </c>
      <c r="AJ58" s="4">
        <f t="shared" si="74"/>
        <v>101</v>
      </c>
      <c r="AL58" s="4" t="str">
        <f t="shared" si="75"/>
        <v>Canadá</v>
      </c>
      <c r="AM58" s="4">
        <f t="shared" si="76"/>
        <v>1</v>
      </c>
      <c r="AN58" s="4">
        <f t="shared" si="77"/>
        <v>2</v>
      </c>
      <c r="AO58" s="4">
        <f t="shared" si="78"/>
        <v>3</v>
      </c>
      <c r="AP58" s="4">
        <f t="shared" si="79"/>
        <v>1</v>
      </c>
      <c r="AQ58" s="4">
        <f t="shared" si="80"/>
        <v>0</v>
      </c>
      <c r="AR58" s="4">
        <f t="shared" si="81"/>
        <v>0</v>
      </c>
      <c r="AS58" s="4">
        <f t="shared" si="82"/>
        <v>101</v>
      </c>
      <c r="AT58" s="4">
        <f t="shared" si="83"/>
        <v>111</v>
      </c>
      <c r="AU58" s="31">
        <v>11</v>
      </c>
      <c r="AV58" s="30" t="str">
        <f>VLOOKUP($AU58,Dummy!$A:$R,2,FALSE)</f>
        <v>Holanda</v>
      </c>
      <c r="AW58" s="28">
        <f>VLOOKUP($AU58,Dummy!$A:$R,3,FALSE)</f>
        <v>10</v>
      </c>
      <c r="AX58" s="28">
        <f>VLOOKUP($AU58,Dummy!$A:$R,4,FALSE)</f>
        <v>8</v>
      </c>
      <c r="AY58" s="28">
        <f>VLOOKUP($AU58,Dummy!$A:$R,5,FALSE)</f>
        <v>3</v>
      </c>
      <c r="AZ58" s="28">
        <f>VLOOKUP($AU58,Dummy!$A:$R,6,FALSE)</f>
        <v>5</v>
      </c>
      <c r="BA58" s="28">
        <f>VLOOKUP($AU58,Dummy!$A:$R,7,FALSE)</f>
        <v>1</v>
      </c>
      <c r="BB58" s="28">
        <f>VLOOKUP($AU58,Dummy!$A:$R,8,FALSE)</f>
        <v>1</v>
      </c>
      <c r="BC58" s="28">
        <f>VLOOKUP($AU58,Dummy!$A:$R,9,FALSE)</f>
        <v>1</v>
      </c>
      <c r="BD58" s="28">
        <f>VLOOKUP($AU58,Dummy!$A:$R,10,FALSE)</f>
        <v>2</v>
      </c>
      <c r="BE58" s="28">
        <f>VLOOKUP($AU58,Dummy!$A:$R,11,FALSE)</f>
        <v>0</v>
      </c>
      <c r="BF58" s="28">
        <f>VLOOKUP($AU58,Dummy!$A:$R,12,FALSE)</f>
        <v>3</v>
      </c>
      <c r="BG58" s="28">
        <f>VLOOKUP($AU58,Dummy!$A:$R,13,FALSE)</f>
        <v>13</v>
      </c>
      <c r="BH58" s="28">
        <f>VLOOKUP($AU58,Dummy!$A:$R,14,FALSE)</f>
        <v>18</v>
      </c>
      <c r="BI58" s="29">
        <f>VLOOKUP($AU58,Dummy!$A:$R,15,FALSE)</f>
        <v>722.22222222222217</v>
      </c>
      <c r="BJ58" s="28">
        <f>VLOOKUP($AU58,Dummy!$A:$R,16,FALSE)</f>
        <v>650</v>
      </c>
      <c r="BK58" s="28">
        <f>VLOOKUP($AU58,Dummy!$A:$R,17,FALSE)</f>
        <v>681</v>
      </c>
      <c r="BL58" s="29">
        <f>VLOOKUP($AU58,Dummy!$A:$R,18,FALSE)</f>
        <v>954.47870778267247</v>
      </c>
    </row>
    <row r="59" spans="2:64" x14ac:dyDescent="0.25">
      <c r="B59" s="17">
        <v>45830</v>
      </c>
      <c r="C59" s="25" t="s">
        <v>54</v>
      </c>
      <c r="D59" s="33">
        <v>2</v>
      </c>
      <c r="E59" s="11" t="s">
        <v>6</v>
      </c>
      <c r="F59" s="34">
        <v>3</v>
      </c>
      <c r="G59" s="21" t="s">
        <v>56</v>
      </c>
      <c r="H59" s="33">
        <v>25</v>
      </c>
      <c r="I59" s="11" t="s">
        <v>6</v>
      </c>
      <c r="J59" s="34">
        <v>19</v>
      </c>
      <c r="K59" s="33">
        <v>17</v>
      </c>
      <c r="L59" s="11" t="s">
        <v>6</v>
      </c>
      <c r="M59" s="34">
        <v>25</v>
      </c>
      <c r="N59" s="33">
        <v>25</v>
      </c>
      <c r="O59" s="11" t="s">
        <v>6</v>
      </c>
      <c r="P59" s="34">
        <v>19</v>
      </c>
      <c r="Q59" s="33">
        <v>20</v>
      </c>
      <c r="R59" s="11" t="s">
        <v>6</v>
      </c>
      <c r="S59" s="34">
        <v>25</v>
      </c>
      <c r="T59" s="33">
        <v>14</v>
      </c>
      <c r="U59" s="11" t="s">
        <v>6</v>
      </c>
      <c r="V59" s="34">
        <v>16</v>
      </c>
      <c r="W59" s="12">
        <f t="shared" si="63"/>
        <v>101</v>
      </c>
      <c r="X59" s="13" t="s">
        <v>6</v>
      </c>
      <c r="Y59" s="14">
        <f t="shared" si="64"/>
        <v>104</v>
      </c>
      <c r="AA59" s="4">
        <f t="shared" si="65"/>
        <v>5</v>
      </c>
      <c r="AB59" s="4" t="str">
        <f t="shared" si="66"/>
        <v>República Dominicana</v>
      </c>
      <c r="AC59" s="4">
        <f t="shared" si="67"/>
        <v>1</v>
      </c>
      <c r="AD59" s="4">
        <f t="shared" si="68"/>
        <v>3</v>
      </c>
      <c r="AE59" s="4">
        <f t="shared" si="69"/>
        <v>2</v>
      </c>
      <c r="AF59" s="4">
        <f t="shared" si="70"/>
        <v>0</v>
      </c>
      <c r="AG59" s="4">
        <f t="shared" si="71"/>
        <v>0</v>
      </c>
      <c r="AH59" s="4">
        <f t="shared" si="72"/>
        <v>1</v>
      </c>
      <c r="AI59" s="4">
        <f t="shared" si="73"/>
        <v>104</v>
      </c>
      <c r="AJ59" s="4">
        <f t="shared" si="74"/>
        <v>101</v>
      </c>
      <c r="AL59" s="4" t="str">
        <f t="shared" si="75"/>
        <v>Coreia do Sul</v>
      </c>
      <c r="AM59" s="4">
        <f t="shared" si="76"/>
        <v>1</v>
      </c>
      <c r="AN59" s="4">
        <f t="shared" si="77"/>
        <v>2</v>
      </c>
      <c r="AO59" s="4">
        <f t="shared" si="78"/>
        <v>3</v>
      </c>
      <c r="AP59" s="4">
        <f t="shared" si="79"/>
        <v>1</v>
      </c>
      <c r="AQ59" s="4">
        <f t="shared" si="80"/>
        <v>0</v>
      </c>
      <c r="AR59" s="4">
        <f t="shared" si="81"/>
        <v>0</v>
      </c>
      <c r="AS59" s="4">
        <f t="shared" si="82"/>
        <v>101</v>
      </c>
      <c r="AT59" s="4">
        <f t="shared" si="83"/>
        <v>104</v>
      </c>
      <c r="AU59" s="31">
        <v>12</v>
      </c>
      <c r="AV59" s="30" t="str">
        <f>VLOOKUP($AU59,Dummy!$A:$R,2,FALSE)</f>
        <v>Bulgária</v>
      </c>
      <c r="AW59" s="28">
        <f>VLOOKUP($AU59,Dummy!$A:$R,3,FALSE)</f>
        <v>9</v>
      </c>
      <c r="AX59" s="28">
        <f>VLOOKUP($AU59,Dummy!$A:$R,4,FALSE)</f>
        <v>8</v>
      </c>
      <c r="AY59" s="28">
        <f>VLOOKUP($AU59,Dummy!$A:$R,5,FALSE)</f>
        <v>3</v>
      </c>
      <c r="AZ59" s="28">
        <f>VLOOKUP($AU59,Dummy!$A:$R,6,FALSE)</f>
        <v>5</v>
      </c>
      <c r="BA59" s="28">
        <f>VLOOKUP($AU59,Dummy!$A:$R,7,FALSE)</f>
        <v>0</v>
      </c>
      <c r="BB59" s="28">
        <f>VLOOKUP($AU59,Dummy!$A:$R,8,FALSE)</f>
        <v>1</v>
      </c>
      <c r="BC59" s="28">
        <f>VLOOKUP($AU59,Dummy!$A:$R,9,FALSE)</f>
        <v>2</v>
      </c>
      <c r="BD59" s="28">
        <f>VLOOKUP($AU59,Dummy!$A:$R,10,FALSE)</f>
        <v>2</v>
      </c>
      <c r="BE59" s="28">
        <f>VLOOKUP($AU59,Dummy!$A:$R,11,FALSE)</f>
        <v>1</v>
      </c>
      <c r="BF59" s="28">
        <f>VLOOKUP($AU59,Dummy!$A:$R,12,FALSE)</f>
        <v>2</v>
      </c>
      <c r="BG59" s="28">
        <f>VLOOKUP($AU59,Dummy!$A:$R,13,FALSE)</f>
        <v>14</v>
      </c>
      <c r="BH59" s="28">
        <f>VLOOKUP($AU59,Dummy!$A:$R,14,FALSE)</f>
        <v>20</v>
      </c>
      <c r="BI59" s="29">
        <f>VLOOKUP($AU59,Dummy!$A:$R,15,FALSE)</f>
        <v>700</v>
      </c>
      <c r="BJ59" s="28">
        <f>VLOOKUP($AU59,Dummy!$A:$R,16,FALSE)</f>
        <v>693</v>
      </c>
      <c r="BK59" s="28">
        <f>VLOOKUP($AU59,Dummy!$A:$R,17,FALSE)</f>
        <v>775</v>
      </c>
      <c r="BL59" s="29">
        <f>VLOOKUP($AU59,Dummy!$A:$R,18,FALSE)</f>
        <v>894.19354838709671</v>
      </c>
    </row>
    <row r="60" spans="2:64" x14ac:dyDescent="0.25">
      <c r="B60" s="17">
        <v>45830</v>
      </c>
      <c r="C60" s="25" t="s">
        <v>30</v>
      </c>
      <c r="D60" s="33">
        <v>1</v>
      </c>
      <c r="E60" s="11" t="s">
        <v>6</v>
      </c>
      <c r="F60" s="34">
        <v>3</v>
      </c>
      <c r="G60" s="21" t="s">
        <v>49</v>
      </c>
      <c r="H60" s="33">
        <v>18</v>
      </c>
      <c r="I60" s="11" t="s">
        <v>6</v>
      </c>
      <c r="J60" s="34">
        <v>25</v>
      </c>
      <c r="K60" s="33">
        <v>25</v>
      </c>
      <c r="L60" s="11" t="s">
        <v>6</v>
      </c>
      <c r="M60" s="34">
        <v>23</v>
      </c>
      <c r="N60" s="33">
        <v>23</v>
      </c>
      <c r="O60" s="11" t="s">
        <v>6</v>
      </c>
      <c r="P60" s="34">
        <v>25</v>
      </c>
      <c r="Q60" s="33">
        <v>15</v>
      </c>
      <c r="R60" s="11" t="s">
        <v>6</v>
      </c>
      <c r="S60" s="34">
        <v>25</v>
      </c>
      <c r="T60" s="33"/>
      <c r="U60" s="11" t="s">
        <v>6</v>
      </c>
      <c r="V60" s="34"/>
      <c r="W60" s="12">
        <f t="shared" si="63"/>
        <v>81</v>
      </c>
      <c r="X60" s="13" t="s">
        <v>6</v>
      </c>
      <c r="Y60" s="14">
        <f t="shared" si="64"/>
        <v>98</v>
      </c>
      <c r="AA60" s="4">
        <f t="shared" si="65"/>
        <v>4</v>
      </c>
      <c r="AB60" s="4" t="str">
        <f t="shared" si="66"/>
        <v>Brasil</v>
      </c>
      <c r="AC60" s="4">
        <f t="shared" si="67"/>
        <v>1</v>
      </c>
      <c r="AD60" s="4">
        <f t="shared" si="68"/>
        <v>3</v>
      </c>
      <c r="AE60" s="4">
        <f t="shared" si="69"/>
        <v>1</v>
      </c>
      <c r="AF60" s="4">
        <f t="shared" si="70"/>
        <v>0</v>
      </c>
      <c r="AG60" s="4">
        <f t="shared" si="71"/>
        <v>1</v>
      </c>
      <c r="AH60" s="4">
        <f t="shared" si="72"/>
        <v>0</v>
      </c>
      <c r="AI60" s="4">
        <f t="shared" si="73"/>
        <v>98</v>
      </c>
      <c r="AJ60" s="4">
        <f t="shared" si="74"/>
        <v>81</v>
      </c>
      <c r="AL60" s="4" t="str">
        <f t="shared" si="75"/>
        <v>Turquia</v>
      </c>
      <c r="AM60" s="4">
        <f t="shared" si="76"/>
        <v>1</v>
      </c>
      <c r="AN60" s="4">
        <f t="shared" si="77"/>
        <v>1</v>
      </c>
      <c r="AO60" s="4">
        <f t="shared" si="78"/>
        <v>3</v>
      </c>
      <c r="AP60" s="4">
        <f t="shared" si="79"/>
        <v>0</v>
      </c>
      <c r="AQ60" s="4">
        <f t="shared" si="80"/>
        <v>1</v>
      </c>
      <c r="AR60" s="4">
        <f t="shared" si="81"/>
        <v>0</v>
      </c>
      <c r="AS60" s="4">
        <f t="shared" si="82"/>
        <v>81</v>
      </c>
      <c r="AT60" s="4">
        <f t="shared" si="83"/>
        <v>98</v>
      </c>
      <c r="AU60" s="31">
        <v>13</v>
      </c>
      <c r="AV60" s="30" t="str">
        <f>VLOOKUP($AU60,Dummy!$A:$R,2,FALSE)</f>
        <v>Bélgica</v>
      </c>
      <c r="AW60" s="28">
        <f>VLOOKUP($AU60,Dummy!$A:$R,3,FALSE)</f>
        <v>8</v>
      </c>
      <c r="AX60" s="28">
        <f>VLOOKUP($AU60,Dummy!$A:$R,4,FALSE)</f>
        <v>8</v>
      </c>
      <c r="AY60" s="28">
        <f>VLOOKUP($AU60,Dummy!$A:$R,5,FALSE)</f>
        <v>3</v>
      </c>
      <c r="AZ60" s="28">
        <f>VLOOKUP($AU60,Dummy!$A:$R,6,FALSE)</f>
        <v>5</v>
      </c>
      <c r="BA60" s="28">
        <f>VLOOKUP($AU60,Dummy!$A:$R,7,FALSE)</f>
        <v>0</v>
      </c>
      <c r="BB60" s="28">
        <f>VLOOKUP($AU60,Dummy!$A:$R,8,FALSE)</f>
        <v>2</v>
      </c>
      <c r="BC60" s="28">
        <f>VLOOKUP($AU60,Dummy!$A:$R,9,FALSE)</f>
        <v>1</v>
      </c>
      <c r="BD60" s="28">
        <f>VLOOKUP($AU60,Dummy!$A:$R,10,FALSE)</f>
        <v>0</v>
      </c>
      <c r="BE60" s="28">
        <f>VLOOKUP($AU60,Dummy!$A:$R,11,FALSE)</f>
        <v>2</v>
      </c>
      <c r="BF60" s="28">
        <f>VLOOKUP($AU60,Dummy!$A:$R,12,FALSE)</f>
        <v>3</v>
      </c>
      <c r="BG60" s="28">
        <f>VLOOKUP($AU60,Dummy!$A:$R,13,FALSE)</f>
        <v>11</v>
      </c>
      <c r="BH60" s="28">
        <f>VLOOKUP($AU60,Dummy!$A:$R,14,FALSE)</f>
        <v>19</v>
      </c>
      <c r="BI60" s="29">
        <f>VLOOKUP($AU60,Dummy!$A:$R,15,FALSE)</f>
        <v>578.9473684210526</v>
      </c>
      <c r="BJ60" s="28">
        <f>VLOOKUP($AU60,Dummy!$A:$R,16,FALSE)</f>
        <v>633</v>
      </c>
      <c r="BK60" s="28">
        <f>VLOOKUP($AU60,Dummy!$A:$R,17,FALSE)</f>
        <v>694</v>
      </c>
      <c r="BL60" s="29">
        <f>VLOOKUP($AU60,Dummy!$A:$R,18,FALSE)</f>
        <v>912.10374639769452</v>
      </c>
    </row>
    <row r="61" spans="2:64" ht="14.25" x14ac:dyDescent="0.25">
      <c r="B61" s="66" t="s">
        <v>69</v>
      </c>
      <c r="C61" s="66"/>
      <c r="D61" s="66"/>
      <c r="E61" s="69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AU61" s="31">
        <v>14</v>
      </c>
      <c r="AV61" s="30" t="str">
        <f>VLOOKUP($AU61,Dummy!$A:$R,2,FALSE)</f>
        <v>Canadá</v>
      </c>
      <c r="AW61" s="28">
        <f>VLOOKUP($AU61,Dummy!$A:$R,3,FALSE)</f>
        <v>6</v>
      </c>
      <c r="AX61" s="28">
        <f>VLOOKUP($AU61,Dummy!$A:$R,4,FALSE)</f>
        <v>8</v>
      </c>
      <c r="AY61" s="28">
        <f>VLOOKUP($AU61,Dummy!$A:$R,5,FALSE)</f>
        <v>2</v>
      </c>
      <c r="AZ61" s="28">
        <f>VLOOKUP($AU61,Dummy!$A:$R,6,FALSE)</f>
        <v>6</v>
      </c>
      <c r="BA61" s="28">
        <f>VLOOKUP($AU61,Dummy!$A:$R,7,FALSE)</f>
        <v>0</v>
      </c>
      <c r="BB61" s="28">
        <f>VLOOKUP($AU61,Dummy!$A:$R,8,FALSE)</f>
        <v>0</v>
      </c>
      <c r="BC61" s="28">
        <f>VLOOKUP($AU61,Dummy!$A:$R,9,FALSE)</f>
        <v>2</v>
      </c>
      <c r="BD61" s="28">
        <f>VLOOKUP($AU61,Dummy!$A:$R,10,FALSE)</f>
        <v>2</v>
      </c>
      <c r="BE61" s="28">
        <f>VLOOKUP($AU61,Dummy!$A:$R,11,FALSE)</f>
        <v>1</v>
      </c>
      <c r="BF61" s="28">
        <f>VLOOKUP($AU61,Dummy!$A:$R,12,FALSE)</f>
        <v>3</v>
      </c>
      <c r="BG61" s="28">
        <f>VLOOKUP($AU61,Dummy!$A:$R,13,FALSE)</f>
        <v>11</v>
      </c>
      <c r="BH61" s="28">
        <f>VLOOKUP($AU61,Dummy!$A:$R,14,FALSE)</f>
        <v>22</v>
      </c>
      <c r="BI61" s="29">
        <f>VLOOKUP($AU61,Dummy!$A:$R,15,FALSE)</f>
        <v>500</v>
      </c>
      <c r="BJ61" s="28">
        <f>VLOOKUP($AU61,Dummy!$A:$R,16,FALSE)</f>
        <v>685</v>
      </c>
      <c r="BK61" s="28">
        <f>VLOOKUP($AU61,Dummy!$A:$R,17,FALSE)</f>
        <v>721</v>
      </c>
      <c r="BL61" s="29">
        <f>VLOOKUP($AU61,Dummy!$A:$R,18,FALSE)</f>
        <v>950.06934812760062</v>
      </c>
    </row>
    <row r="62" spans="2:64" x14ac:dyDescent="0.25">
      <c r="B62" s="16" t="s">
        <v>2</v>
      </c>
      <c r="C62" s="24"/>
      <c r="D62" s="68" t="s">
        <v>3</v>
      </c>
      <c r="E62" s="68"/>
      <c r="F62" s="68"/>
      <c r="G62" s="20"/>
      <c r="H62" s="68" t="s">
        <v>4</v>
      </c>
      <c r="I62" s="68"/>
      <c r="J62" s="68"/>
      <c r="K62" s="68" t="s">
        <v>5</v>
      </c>
      <c r="L62" s="68"/>
      <c r="M62" s="68"/>
      <c r="N62" s="68" t="s">
        <v>7</v>
      </c>
      <c r="O62" s="68"/>
      <c r="P62" s="68"/>
      <c r="Q62" s="68" t="s">
        <v>8</v>
      </c>
      <c r="R62" s="68"/>
      <c r="S62" s="68"/>
      <c r="T62" s="68" t="s">
        <v>9</v>
      </c>
      <c r="U62" s="68"/>
      <c r="V62" s="68"/>
      <c r="W62" s="68" t="s">
        <v>10</v>
      </c>
      <c r="X62" s="68"/>
      <c r="Y62" s="68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República Tcheca</v>
      </c>
      <c r="AW62" s="28">
        <f>VLOOKUP($AU62,Dummy!$A:$R,3,FALSE)</f>
        <v>4</v>
      </c>
      <c r="AX62" s="28">
        <f>VLOOKUP($AU62,Dummy!$A:$R,4,FALSE)</f>
        <v>4</v>
      </c>
      <c r="AY62" s="28">
        <f>VLOOKUP($AU62,Dummy!$A:$R,5,FALSE)</f>
        <v>2</v>
      </c>
      <c r="AZ62" s="28">
        <f>VLOOKUP($AU62,Dummy!$A:$R,6,FALSE)</f>
        <v>2</v>
      </c>
      <c r="BA62" s="28">
        <f>VLOOKUP($AU62,Dummy!$A:$R,7,FALSE)</f>
        <v>0</v>
      </c>
      <c r="BB62" s="28">
        <f>VLOOKUP($AU62,Dummy!$A:$R,8,FALSE)</f>
        <v>0</v>
      </c>
      <c r="BC62" s="28">
        <f>VLOOKUP($AU62,Dummy!$A:$R,9,FALSE)</f>
        <v>2</v>
      </c>
      <c r="BD62" s="28">
        <f>VLOOKUP($AU62,Dummy!$A:$R,10,FALSE)</f>
        <v>0</v>
      </c>
      <c r="BE62" s="28">
        <f>VLOOKUP($AU62,Dummy!$A:$R,11,FALSE)</f>
        <v>1</v>
      </c>
      <c r="BF62" s="28">
        <f>VLOOKUP($AU62,Dummy!$A:$R,12,FALSE)</f>
        <v>1</v>
      </c>
      <c r="BG62" s="28">
        <f>VLOOKUP($AU62,Dummy!$A:$R,13,FALSE)</f>
        <v>7</v>
      </c>
      <c r="BH62" s="28">
        <f>VLOOKUP($AU62,Dummy!$A:$R,14,FALSE)</f>
        <v>10</v>
      </c>
      <c r="BI62" s="29">
        <f>VLOOKUP($AU62,Dummy!$A:$R,15,FALSE)</f>
        <v>700</v>
      </c>
      <c r="BJ62" s="28">
        <f>VLOOKUP($AU62,Dummy!$A:$R,16,FALSE)</f>
        <v>369</v>
      </c>
      <c r="BK62" s="28">
        <f>VLOOKUP($AU62,Dummy!$A:$R,17,FALSE)</f>
        <v>369</v>
      </c>
      <c r="BL62" s="29">
        <f>VLOOKUP($AU62,Dummy!$A:$R,18,FALSE)</f>
        <v>1000</v>
      </c>
    </row>
    <row r="63" spans="2:64" x14ac:dyDescent="0.25">
      <c r="B63" s="18">
        <v>45826</v>
      </c>
      <c r="C63" s="26" t="s">
        <v>50</v>
      </c>
      <c r="D63" s="33">
        <v>1</v>
      </c>
      <c r="E63" s="11" t="s">
        <v>6</v>
      </c>
      <c r="F63" s="34">
        <v>3</v>
      </c>
      <c r="G63" s="22" t="s">
        <v>39</v>
      </c>
      <c r="H63" s="33">
        <v>17</v>
      </c>
      <c r="I63" s="11" t="s">
        <v>6</v>
      </c>
      <c r="J63" s="34">
        <v>25</v>
      </c>
      <c r="K63" s="33">
        <v>25</v>
      </c>
      <c r="L63" s="11" t="s">
        <v>6</v>
      </c>
      <c r="M63" s="34">
        <v>23</v>
      </c>
      <c r="N63" s="33">
        <v>15</v>
      </c>
      <c r="O63" s="11" t="s">
        <v>6</v>
      </c>
      <c r="P63" s="34">
        <v>25</v>
      </c>
      <c r="Q63" s="33">
        <v>15</v>
      </c>
      <c r="R63" s="11" t="s">
        <v>6</v>
      </c>
      <c r="S63" s="34">
        <v>25</v>
      </c>
      <c r="T63" s="33"/>
      <c r="U63" s="11" t="s">
        <v>6</v>
      </c>
      <c r="V63" s="34"/>
      <c r="W63" s="12">
        <f>SUM(H63,K63,N63,Q63,T63)</f>
        <v>72</v>
      </c>
      <c r="X63" s="13" t="s">
        <v>6</v>
      </c>
      <c r="Y63" s="14">
        <f>SUM(J63,M63,P63,S63,V63)</f>
        <v>98</v>
      </c>
      <c r="AA63" s="4">
        <f t="shared" ref="AA63:AA74" si="84">AD63+AE63</f>
        <v>4</v>
      </c>
      <c r="AB63" s="4" t="str">
        <f t="shared" ref="AB63:AB74" si="85">IF(OR(D63="",F63=""),0,IF(D63&gt;F63,C63,G63))</f>
        <v>Itália</v>
      </c>
      <c r="AC63" s="4">
        <f t="shared" ref="AC63:AC74" si="86">IF(OR(D63="",F63=""),0,1)</f>
        <v>1</v>
      </c>
      <c r="AD63" s="4">
        <f t="shared" ref="AD63:AD74" si="87">IF(OR(D63="",F63=""),0,IF(D63&gt;F63,D63,F63))</f>
        <v>3</v>
      </c>
      <c r="AE63" s="4">
        <f t="shared" ref="AE63:AE74" si="88">IF(OR(D63="",F63=""),0,IF(D63&gt;F63,F63,D63))</f>
        <v>1</v>
      </c>
      <c r="AF63" s="4">
        <f t="shared" ref="AF63:AF74" si="89">IF(AND(AD63=3,AE63=0),1,0)</f>
        <v>0</v>
      </c>
      <c r="AG63" s="4">
        <f t="shared" ref="AG63:AG74" si="90">IF(AND(AD63=3,AE63=1),1,0)</f>
        <v>1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98</v>
      </c>
      <c r="AJ63" s="4">
        <f t="shared" ref="AJ63:AJ74" si="93">IF(D63&gt;F63,SUM(J63,M63,P63,S63,V63),SUM(H63,K63,N63,Q63,T63))</f>
        <v>72</v>
      </c>
      <c r="AL63" s="4" t="str">
        <f t="shared" ref="AL63:AL74" si="94">IF(OR(D63="",F63=""),0,IF(D63&lt;F63,C63,G63))</f>
        <v>Bulgária</v>
      </c>
      <c r="AM63" s="4">
        <f t="shared" ref="AM63:AM74" si="95">IF(OR(D63="",F63=""),0,1)</f>
        <v>1</v>
      </c>
      <c r="AN63" s="4">
        <f t="shared" ref="AN63:AN74" si="96">IF(OR(D63="",F63=""),0,IF(D63&lt;F63,D63,F63))</f>
        <v>1</v>
      </c>
      <c r="AO63" s="4">
        <f t="shared" ref="AO63:AO74" si="97">IF(OR(D63="",F63=""),0,IF(D63&lt;F63,F63,D63))</f>
        <v>3</v>
      </c>
      <c r="AP63" s="4">
        <f t="shared" ref="AP63:AP74" si="98">IF(AND(AN63=2,AO63=3),1,0)</f>
        <v>0</v>
      </c>
      <c r="AQ63" s="4">
        <f t="shared" ref="AQ63:AQ74" si="99">IF(AND(AN63=1,AO63=3),1,0)</f>
        <v>1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72</v>
      </c>
      <c r="AT63" s="4">
        <f t="shared" ref="AT63:AT74" si="102">IF(D63&lt;F63,SUM(J63,M63,P63,S63,V63),SUM(H63,K63,N63,Q63,T63))</f>
        <v>98</v>
      </c>
      <c r="AU63" s="31">
        <v>16</v>
      </c>
      <c r="AV63" s="30" t="str">
        <f>VLOOKUP($AU63,Dummy!$A:$R,2,FALSE)</f>
        <v>Tailândia</v>
      </c>
      <c r="AW63" s="28">
        <f>VLOOKUP($AU63,Dummy!$A:$R,3,FALSE)</f>
        <v>5</v>
      </c>
      <c r="AX63" s="28">
        <f>VLOOKUP($AU63,Dummy!$A:$R,4,FALSE)</f>
        <v>8</v>
      </c>
      <c r="AY63" s="28">
        <f>VLOOKUP($AU63,Dummy!$A:$R,5,FALSE)</f>
        <v>1</v>
      </c>
      <c r="AZ63" s="28">
        <f>VLOOKUP($AU63,Dummy!$A:$R,6,FALSE)</f>
        <v>7</v>
      </c>
      <c r="BA63" s="28">
        <f>VLOOKUP($AU63,Dummy!$A:$R,7,FALSE)</f>
        <v>0</v>
      </c>
      <c r="BB63" s="28">
        <f>VLOOKUP($AU63,Dummy!$A:$R,8,FALSE)</f>
        <v>1</v>
      </c>
      <c r="BC63" s="28">
        <f>VLOOKUP($AU63,Dummy!$A:$R,9,FALSE)</f>
        <v>0</v>
      </c>
      <c r="BD63" s="28">
        <f>VLOOKUP($AU63,Dummy!$A:$R,10,FALSE)</f>
        <v>2</v>
      </c>
      <c r="BE63" s="28">
        <f>VLOOKUP($AU63,Dummy!$A:$R,11,FALSE)</f>
        <v>1</v>
      </c>
      <c r="BF63" s="28">
        <f>VLOOKUP($AU63,Dummy!$A:$R,12,FALSE)</f>
        <v>4</v>
      </c>
      <c r="BG63" s="28">
        <f>VLOOKUP($AU63,Dummy!$A:$R,13,FALSE)</f>
        <v>8</v>
      </c>
      <c r="BH63" s="28">
        <f>VLOOKUP($AU63,Dummy!$A:$R,14,FALSE)</f>
        <v>22</v>
      </c>
      <c r="BI63" s="29">
        <f>VLOOKUP($AU63,Dummy!$A:$R,15,FALSE)</f>
        <v>363.63636363636363</v>
      </c>
      <c r="BJ63" s="28">
        <f>VLOOKUP($AU63,Dummy!$A:$R,16,FALSE)</f>
        <v>627</v>
      </c>
      <c r="BK63" s="28">
        <f>VLOOKUP($AU63,Dummy!$A:$R,17,FALSE)</f>
        <v>697</v>
      </c>
      <c r="BL63" s="29">
        <f>VLOOKUP($AU63,Dummy!$A:$R,18,FALSE)</f>
        <v>899.56958393113337</v>
      </c>
    </row>
    <row r="64" spans="2:64" x14ac:dyDescent="0.25">
      <c r="B64" s="18">
        <v>45826</v>
      </c>
      <c r="C64" s="26" t="s">
        <v>58</v>
      </c>
      <c r="D64" s="38">
        <v>2</v>
      </c>
      <c r="E64" s="11" t="s">
        <v>6</v>
      </c>
      <c r="F64" s="37">
        <v>3</v>
      </c>
      <c r="G64" s="22" t="s">
        <v>29</v>
      </c>
      <c r="H64" s="33">
        <v>25</v>
      </c>
      <c r="I64" s="11" t="s">
        <v>6</v>
      </c>
      <c r="J64" s="34">
        <v>18</v>
      </c>
      <c r="K64" s="33">
        <v>25</v>
      </c>
      <c r="L64" s="11" t="s">
        <v>6</v>
      </c>
      <c r="M64" s="34">
        <v>23</v>
      </c>
      <c r="N64" s="33">
        <v>20</v>
      </c>
      <c r="O64" s="11" t="s">
        <v>6</v>
      </c>
      <c r="P64" s="34">
        <v>25</v>
      </c>
      <c r="Q64" s="33">
        <v>15</v>
      </c>
      <c r="R64" s="11" t="s">
        <v>6</v>
      </c>
      <c r="S64" s="34">
        <v>25</v>
      </c>
      <c r="T64" s="33">
        <v>11</v>
      </c>
      <c r="U64" s="11" t="s">
        <v>6</v>
      </c>
      <c r="V64" s="34">
        <v>15</v>
      </c>
      <c r="W64" s="12">
        <f t="shared" ref="W64:W74" si="103">SUM(H64,K64,N64,Q64,T64)</f>
        <v>96</v>
      </c>
      <c r="X64" s="13" t="s">
        <v>6</v>
      </c>
      <c r="Y64" s="14">
        <f t="shared" ref="Y64:Y74" si="104">SUM(J64,M64,P64,S64,V64)</f>
        <v>106</v>
      </c>
      <c r="AA64" s="4">
        <f t="shared" si="84"/>
        <v>5</v>
      </c>
      <c r="AB64" s="4" t="str">
        <f t="shared" si="85"/>
        <v>Japão</v>
      </c>
      <c r="AC64" s="4">
        <f t="shared" si="86"/>
        <v>1</v>
      </c>
      <c r="AD64" s="4">
        <f t="shared" si="87"/>
        <v>3</v>
      </c>
      <c r="AE64" s="4">
        <f t="shared" si="88"/>
        <v>2</v>
      </c>
      <c r="AF64" s="4">
        <f t="shared" si="89"/>
        <v>0</v>
      </c>
      <c r="AG64" s="4">
        <f t="shared" si="90"/>
        <v>0</v>
      </c>
      <c r="AH64" s="4">
        <f t="shared" si="91"/>
        <v>1</v>
      </c>
      <c r="AI64" s="4">
        <f t="shared" si="92"/>
        <v>106</v>
      </c>
      <c r="AJ64" s="4">
        <f t="shared" si="93"/>
        <v>96</v>
      </c>
      <c r="AL64" s="4" t="str">
        <f t="shared" si="94"/>
        <v>Tailândia</v>
      </c>
      <c r="AM64" s="4">
        <f t="shared" si="95"/>
        <v>1</v>
      </c>
      <c r="AN64" s="4">
        <f t="shared" si="96"/>
        <v>2</v>
      </c>
      <c r="AO64" s="4">
        <f t="shared" si="97"/>
        <v>3</v>
      </c>
      <c r="AP64" s="4">
        <f t="shared" si="98"/>
        <v>1</v>
      </c>
      <c r="AQ64" s="4">
        <f t="shared" si="99"/>
        <v>0</v>
      </c>
      <c r="AR64" s="4">
        <f t="shared" si="100"/>
        <v>0</v>
      </c>
      <c r="AS64" s="4">
        <f t="shared" si="101"/>
        <v>96</v>
      </c>
      <c r="AT64" s="4">
        <f t="shared" si="102"/>
        <v>106</v>
      </c>
      <c r="AU64" s="31">
        <v>17</v>
      </c>
      <c r="AV64" s="30" t="str">
        <f>VLOOKUP($AU64,Dummy!$A:$R,2,FALSE)</f>
        <v>Coreia do Sul</v>
      </c>
      <c r="AW64" s="28">
        <f>VLOOKUP($AU64,Dummy!$A:$R,3,FALSE)</f>
        <v>4</v>
      </c>
      <c r="AX64" s="28">
        <f>VLOOKUP($AU64,Dummy!$A:$R,4,FALSE)</f>
        <v>8</v>
      </c>
      <c r="AY64" s="28">
        <f>VLOOKUP($AU64,Dummy!$A:$R,5,FALSE)</f>
        <v>1</v>
      </c>
      <c r="AZ64" s="28">
        <f>VLOOKUP($AU64,Dummy!$A:$R,6,FALSE)</f>
        <v>7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1</v>
      </c>
      <c r="BD64" s="28">
        <f>VLOOKUP($AU64,Dummy!$A:$R,10,FALSE)</f>
        <v>2</v>
      </c>
      <c r="BE64" s="28">
        <f>VLOOKUP($AU64,Dummy!$A:$R,11,FALSE)</f>
        <v>1</v>
      </c>
      <c r="BF64" s="28">
        <f>VLOOKUP($AU64,Dummy!$A:$R,12,FALSE)</f>
        <v>4</v>
      </c>
      <c r="BG64" s="28">
        <f>VLOOKUP($AU64,Dummy!$A:$R,13,FALSE)</f>
        <v>8</v>
      </c>
      <c r="BH64" s="28">
        <f>VLOOKUP($AU64,Dummy!$A:$R,14,FALSE)</f>
        <v>23</v>
      </c>
      <c r="BI64" s="29">
        <f>VLOOKUP($AU64,Dummy!$A:$R,15,FALSE)</f>
        <v>347.82608695652175</v>
      </c>
      <c r="BJ64" s="28">
        <f>VLOOKUP($AU64,Dummy!$A:$R,16,FALSE)</f>
        <v>563</v>
      </c>
      <c r="BK64" s="28">
        <f>VLOOKUP($AU64,Dummy!$A:$R,17,FALSE)</f>
        <v>717</v>
      </c>
      <c r="BL64" s="29">
        <f>VLOOKUP($AU64,Dummy!$A:$R,18,FALSE)</f>
        <v>785.21617852161785</v>
      </c>
    </row>
    <row r="65" spans="2:64" x14ac:dyDescent="0.25">
      <c r="B65" s="18">
        <v>45826</v>
      </c>
      <c r="C65" s="26" t="s">
        <v>52</v>
      </c>
      <c r="D65" s="33">
        <v>1</v>
      </c>
      <c r="E65" s="11" t="s">
        <v>6</v>
      </c>
      <c r="F65" s="34">
        <v>3</v>
      </c>
      <c r="G65" s="22" t="s">
        <v>53</v>
      </c>
      <c r="H65" s="33">
        <v>27</v>
      </c>
      <c r="I65" s="11" t="s">
        <v>6</v>
      </c>
      <c r="J65" s="34">
        <v>29</v>
      </c>
      <c r="K65" s="33">
        <v>25</v>
      </c>
      <c r="L65" s="11" t="s">
        <v>6</v>
      </c>
      <c r="M65" s="34">
        <v>23</v>
      </c>
      <c r="N65" s="33">
        <v>15</v>
      </c>
      <c r="O65" s="11" t="s">
        <v>6</v>
      </c>
      <c r="P65" s="34">
        <v>25</v>
      </c>
      <c r="Q65" s="33">
        <v>22</v>
      </c>
      <c r="R65" s="11" t="s">
        <v>6</v>
      </c>
      <c r="S65" s="34">
        <v>25</v>
      </c>
      <c r="T65" s="33"/>
      <c r="U65" s="11" t="s">
        <v>6</v>
      </c>
      <c r="V65" s="34"/>
      <c r="W65" s="12">
        <f t="shared" si="103"/>
        <v>89</v>
      </c>
      <c r="X65" s="13" t="s">
        <v>6</v>
      </c>
      <c r="Y65" s="14">
        <f t="shared" si="104"/>
        <v>102</v>
      </c>
      <c r="AA65" s="4">
        <f t="shared" si="84"/>
        <v>4</v>
      </c>
      <c r="AB65" s="4" t="str">
        <f t="shared" si="85"/>
        <v>China</v>
      </c>
      <c r="AC65" s="4">
        <f t="shared" si="86"/>
        <v>1</v>
      </c>
      <c r="AD65" s="4">
        <f t="shared" si="87"/>
        <v>3</v>
      </c>
      <c r="AE65" s="4">
        <f t="shared" si="88"/>
        <v>1</v>
      </c>
      <c r="AF65" s="4">
        <f t="shared" si="89"/>
        <v>0</v>
      </c>
      <c r="AG65" s="4">
        <f t="shared" si="90"/>
        <v>1</v>
      </c>
      <c r="AH65" s="4">
        <f t="shared" si="91"/>
        <v>0</v>
      </c>
      <c r="AI65" s="4">
        <f t="shared" si="92"/>
        <v>102</v>
      </c>
      <c r="AJ65" s="4">
        <f t="shared" si="93"/>
        <v>89</v>
      </c>
      <c r="AL65" s="4" t="str">
        <f t="shared" si="94"/>
        <v>Chéquia</v>
      </c>
      <c r="AM65" s="4">
        <f t="shared" si="95"/>
        <v>1</v>
      </c>
      <c r="AN65" s="4">
        <f t="shared" si="96"/>
        <v>1</v>
      </c>
      <c r="AO65" s="4">
        <f t="shared" si="97"/>
        <v>3</v>
      </c>
      <c r="AP65" s="4">
        <f t="shared" si="98"/>
        <v>0</v>
      </c>
      <c r="AQ65" s="4">
        <f t="shared" si="99"/>
        <v>1</v>
      </c>
      <c r="AR65" s="4">
        <f t="shared" si="100"/>
        <v>0</v>
      </c>
      <c r="AS65" s="4">
        <f t="shared" si="101"/>
        <v>89</v>
      </c>
      <c r="AT65" s="4">
        <f t="shared" si="102"/>
        <v>102</v>
      </c>
      <c r="AU65" s="31">
        <v>18</v>
      </c>
      <c r="AV65" s="30" t="str">
        <f>VLOOKUP($AU65,Dummy!$A:$R,2,FALSE)</f>
        <v>Sérvia</v>
      </c>
      <c r="AW65" s="28">
        <f>VLOOKUP($AU65,Dummy!$A:$R,3,FALSE)</f>
        <v>5</v>
      </c>
      <c r="AX65" s="28">
        <f>VLOOKUP($AU65,Dummy!$A:$R,4,FALSE)</f>
        <v>8</v>
      </c>
      <c r="AY65" s="28">
        <f>VLOOKUP($AU65,Dummy!$A:$R,5,FALSE)</f>
        <v>0</v>
      </c>
      <c r="AZ65" s="28">
        <f>VLOOKUP($AU65,Dummy!$A:$R,6,FALSE)</f>
        <v>8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5</v>
      </c>
      <c r="BE65" s="28">
        <f>VLOOKUP($AU65,Dummy!$A:$R,11,FALSE)</f>
        <v>2</v>
      </c>
      <c r="BF65" s="28">
        <f>VLOOKUP($AU65,Dummy!$A:$R,12,FALSE)</f>
        <v>1</v>
      </c>
      <c r="BG65" s="28">
        <f>VLOOKUP($AU65,Dummy!$A:$R,13,FALSE)</f>
        <v>12</v>
      </c>
      <c r="BH65" s="28">
        <f>VLOOKUP($AU65,Dummy!$A:$R,14,FALSE)</f>
        <v>24</v>
      </c>
      <c r="BI65" s="29">
        <f>VLOOKUP($AU65,Dummy!$A:$R,15,FALSE)</f>
        <v>500</v>
      </c>
      <c r="BJ65" s="28">
        <f>VLOOKUP($AU65,Dummy!$A:$R,16,FALSE)</f>
        <v>731</v>
      </c>
      <c r="BK65" s="28">
        <f>VLOOKUP($AU65,Dummy!$A:$R,17,FALSE)</f>
        <v>786</v>
      </c>
      <c r="BL65" s="29">
        <f>VLOOKUP($AU65,Dummy!$A:$R,18,FALSE)</f>
        <v>930.02544529262093</v>
      </c>
    </row>
    <row r="66" spans="2:64" x14ac:dyDescent="0.25">
      <c r="B66" s="18">
        <v>45827</v>
      </c>
      <c r="C66" s="26" t="s">
        <v>58</v>
      </c>
      <c r="D66" s="33">
        <v>0</v>
      </c>
      <c r="E66" s="11" t="s">
        <v>6</v>
      </c>
      <c r="F66" s="34">
        <v>3</v>
      </c>
      <c r="G66" s="22" t="s">
        <v>39</v>
      </c>
      <c r="H66" s="33">
        <v>19</v>
      </c>
      <c r="I66" s="11" t="s">
        <v>6</v>
      </c>
      <c r="J66" s="34">
        <v>25</v>
      </c>
      <c r="K66" s="33">
        <v>20</v>
      </c>
      <c r="L66" s="11" t="s">
        <v>6</v>
      </c>
      <c r="M66" s="34">
        <v>25</v>
      </c>
      <c r="N66" s="33">
        <v>18</v>
      </c>
      <c r="O66" s="11" t="s">
        <v>6</v>
      </c>
      <c r="P66" s="34">
        <v>25</v>
      </c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57</v>
      </c>
      <c r="X66" s="13" t="s">
        <v>6</v>
      </c>
      <c r="Y66" s="14">
        <f t="shared" si="104"/>
        <v>75</v>
      </c>
      <c r="AA66" s="4">
        <f t="shared" si="84"/>
        <v>3</v>
      </c>
      <c r="AB66" s="4" t="str">
        <f t="shared" si="85"/>
        <v>Itália</v>
      </c>
      <c r="AC66" s="4">
        <f t="shared" si="86"/>
        <v>1</v>
      </c>
      <c r="AD66" s="4">
        <f t="shared" si="87"/>
        <v>3</v>
      </c>
      <c r="AE66" s="4">
        <f t="shared" si="88"/>
        <v>0</v>
      </c>
      <c r="AF66" s="4">
        <f t="shared" si="89"/>
        <v>1</v>
      </c>
      <c r="AG66" s="4">
        <f t="shared" si="90"/>
        <v>0</v>
      </c>
      <c r="AH66" s="4">
        <f t="shared" si="91"/>
        <v>0</v>
      </c>
      <c r="AI66" s="4">
        <f t="shared" si="92"/>
        <v>75</v>
      </c>
      <c r="AJ66" s="4">
        <f t="shared" si="93"/>
        <v>57</v>
      </c>
      <c r="AL66" s="4" t="str">
        <f t="shared" si="94"/>
        <v>Tailândia</v>
      </c>
      <c r="AM66" s="4">
        <f t="shared" si="95"/>
        <v>1</v>
      </c>
      <c r="AN66" s="4">
        <f t="shared" si="96"/>
        <v>0</v>
      </c>
      <c r="AO66" s="4">
        <f t="shared" si="97"/>
        <v>3</v>
      </c>
      <c r="AP66" s="4">
        <f t="shared" si="98"/>
        <v>0</v>
      </c>
      <c r="AQ66" s="4">
        <f t="shared" si="99"/>
        <v>0</v>
      </c>
      <c r="AR66" s="4">
        <f t="shared" si="100"/>
        <v>1</v>
      </c>
      <c r="AS66" s="4">
        <f t="shared" si="101"/>
        <v>57</v>
      </c>
      <c r="AT66" s="4">
        <f t="shared" si="102"/>
        <v>75</v>
      </c>
      <c r="AX66" s="53">
        <f>SUM(AX48:AX65)</f>
        <v>140</v>
      </c>
    </row>
    <row r="67" spans="2:64" x14ac:dyDescent="0.25">
      <c r="B67" s="18">
        <v>45827</v>
      </c>
      <c r="C67" s="26" t="s">
        <v>50</v>
      </c>
      <c r="D67" s="33">
        <v>2</v>
      </c>
      <c r="E67" s="11" t="s">
        <v>6</v>
      </c>
      <c r="F67" s="34">
        <v>3</v>
      </c>
      <c r="G67" s="22" t="s">
        <v>53</v>
      </c>
      <c r="H67" s="33">
        <v>21</v>
      </c>
      <c r="I67" s="11" t="s">
        <v>6</v>
      </c>
      <c r="J67" s="34">
        <v>25</v>
      </c>
      <c r="K67" s="33">
        <v>25</v>
      </c>
      <c r="L67" s="11" t="s">
        <v>6</v>
      </c>
      <c r="M67" s="34">
        <v>22</v>
      </c>
      <c r="N67" s="33">
        <v>15</v>
      </c>
      <c r="O67" s="11" t="s">
        <v>6</v>
      </c>
      <c r="P67" s="34">
        <v>25</v>
      </c>
      <c r="Q67" s="33">
        <v>26</v>
      </c>
      <c r="R67" s="11" t="s">
        <v>6</v>
      </c>
      <c r="S67" s="34">
        <v>24</v>
      </c>
      <c r="T67" s="33">
        <v>14</v>
      </c>
      <c r="U67" s="11" t="s">
        <v>6</v>
      </c>
      <c r="V67" s="34">
        <v>16</v>
      </c>
      <c r="W67" s="12">
        <f t="shared" si="103"/>
        <v>101</v>
      </c>
      <c r="X67" s="13" t="s">
        <v>6</v>
      </c>
      <c r="Y67" s="14">
        <f t="shared" si="104"/>
        <v>112</v>
      </c>
      <c r="AA67" s="4">
        <f t="shared" si="84"/>
        <v>5</v>
      </c>
      <c r="AB67" s="4" t="str">
        <f t="shared" si="85"/>
        <v>China</v>
      </c>
      <c r="AC67" s="4">
        <f t="shared" si="86"/>
        <v>1</v>
      </c>
      <c r="AD67" s="4">
        <f t="shared" si="87"/>
        <v>3</v>
      </c>
      <c r="AE67" s="4">
        <f t="shared" si="88"/>
        <v>2</v>
      </c>
      <c r="AF67" s="4">
        <f t="shared" si="89"/>
        <v>0</v>
      </c>
      <c r="AG67" s="4">
        <f t="shared" si="90"/>
        <v>0</v>
      </c>
      <c r="AH67" s="4">
        <f t="shared" si="91"/>
        <v>1</v>
      </c>
      <c r="AI67" s="4">
        <f t="shared" si="92"/>
        <v>112</v>
      </c>
      <c r="AJ67" s="4">
        <f t="shared" si="93"/>
        <v>101</v>
      </c>
      <c r="AL67" s="4" t="str">
        <f t="shared" si="94"/>
        <v>Bulgária</v>
      </c>
      <c r="AM67" s="4">
        <f t="shared" si="95"/>
        <v>1</v>
      </c>
      <c r="AN67" s="4">
        <f t="shared" si="96"/>
        <v>2</v>
      </c>
      <c r="AO67" s="4">
        <f t="shared" si="97"/>
        <v>3</v>
      </c>
      <c r="AP67" s="4">
        <f t="shared" si="98"/>
        <v>1</v>
      </c>
      <c r="AQ67" s="4">
        <f t="shared" si="99"/>
        <v>0</v>
      </c>
      <c r="AR67" s="4">
        <f t="shared" si="100"/>
        <v>0</v>
      </c>
      <c r="AS67" s="4">
        <f t="shared" si="101"/>
        <v>101</v>
      </c>
      <c r="AT67" s="4">
        <f t="shared" si="102"/>
        <v>112</v>
      </c>
      <c r="AU67" s="59" t="s">
        <v>90</v>
      </c>
      <c r="AV67" s="59"/>
    </row>
    <row r="68" spans="2:64" x14ac:dyDescent="0.25">
      <c r="B68" s="18">
        <v>45828</v>
      </c>
      <c r="C68" s="26" t="s">
        <v>50</v>
      </c>
      <c r="D68" s="33">
        <v>0</v>
      </c>
      <c r="E68" s="11" t="s">
        <v>6</v>
      </c>
      <c r="F68" s="34">
        <v>3</v>
      </c>
      <c r="G68" s="22" t="s">
        <v>52</v>
      </c>
      <c r="H68" s="33">
        <v>19</v>
      </c>
      <c r="I68" s="11" t="s">
        <v>6</v>
      </c>
      <c r="J68" s="34">
        <v>25</v>
      </c>
      <c r="K68" s="33">
        <v>22</v>
      </c>
      <c r="L68" s="11" t="s">
        <v>6</v>
      </c>
      <c r="M68" s="34">
        <v>25</v>
      </c>
      <c r="N68" s="33">
        <v>11</v>
      </c>
      <c r="O68" s="11" t="s">
        <v>6</v>
      </c>
      <c r="P68" s="34">
        <v>25</v>
      </c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52</v>
      </c>
      <c r="X68" s="13" t="s">
        <v>6</v>
      </c>
      <c r="Y68" s="14">
        <f t="shared" si="104"/>
        <v>75</v>
      </c>
      <c r="AA68" s="4">
        <f t="shared" si="84"/>
        <v>3</v>
      </c>
      <c r="AB68" s="4" t="str">
        <f t="shared" si="85"/>
        <v>Chéquia</v>
      </c>
      <c r="AC68" s="4">
        <f t="shared" si="86"/>
        <v>1</v>
      </c>
      <c r="AD68" s="4">
        <f t="shared" si="87"/>
        <v>3</v>
      </c>
      <c r="AE68" s="4">
        <f t="shared" si="88"/>
        <v>0</v>
      </c>
      <c r="AF68" s="4">
        <f t="shared" si="89"/>
        <v>1</v>
      </c>
      <c r="AG68" s="4">
        <f t="shared" si="90"/>
        <v>0</v>
      </c>
      <c r="AH68" s="4">
        <f t="shared" si="91"/>
        <v>0</v>
      </c>
      <c r="AI68" s="4">
        <f t="shared" si="92"/>
        <v>75</v>
      </c>
      <c r="AJ68" s="4">
        <f t="shared" si="93"/>
        <v>52</v>
      </c>
      <c r="AL68" s="4" t="str">
        <f t="shared" si="94"/>
        <v>Bulgária</v>
      </c>
      <c r="AM68" s="4">
        <f t="shared" si="95"/>
        <v>1</v>
      </c>
      <c r="AN68" s="4">
        <f t="shared" si="96"/>
        <v>0</v>
      </c>
      <c r="AO68" s="4">
        <f t="shared" si="97"/>
        <v>3</v>
      </c>
      <c r="AP68" s="4">
        <f t="shared" si="98"/>
        <v>0</v>
      </c>
      <c r="AQ68" s="4">
        <f t="shared" si="99"/>
        <v>0</v>
      </c>
      <c r="AR68" s="4">
        <f t="shared" si="100"/>
        <v>1</v>
      </c>
      <c r="AS68" s="4">
        <f t="shared" si="101"/>
        <v>52</v>
      </c>
      <c r="AT68" s="4">
        <f t="shared" si="102"/>
        <v>75</v>
      </c>
      <c r="AU68" s="54"/>
      <c r="AV68" s="7" t="s">
        <v>91</v>
      </c>
    </row>
    <row r="69" spans="2:64" x14ac:dyDescent="0.25">
      <c r="B69" s="18">
        <v>45828</v>
      </c>
      <c r="C69" s="26" t="s">
        <v>29</v>
      </c>
      <c r="D69" s="33">
        <v>2</v>
      </c>
      <c r="E69" s="11" t="s">
        <v>6</v>
      </c>
      <c r="F69" s="34">
        <v>3</v>
      </c>
      <c r="G69" s="22" t="s">
        <v>39</v>
      </c>
      <c r="H69" s="33">
        <v>23</v>
      </c>
      <c r="I69" s="11" t="s">
        <v>6</v>
      </c>
      <c r="J69" s="34">
        <v>25</v>
      </c>
      <c r="K69" s="33">
        <v>25</v>
      </c>
      <c r="L69" s="11" t="s">
        <v>6</v>
      </c>
      <c r="M69" s="34">
        <v>16</v>
      </c>
      <c r="N69" s="33">
        <v>15</v>
      </c>
      <c r="O69" s="11" t="s">
        <v>6</v>
      </c>
      <c r="P69" s="34">
        <v>25</v>
      </c>
      <c r="Q69" s="33">
        <v>25</v>
      </c>
      <c r="R69" s="11" t="s">
        <v>6</v>
      </c>
      <c r="S69" s="34">
        <v>20</v>
      </c>
      <c r="T69" s="33">
        <v>17</v>
      </c>
      <c r="U69" s="11" t="s">
        <v>6</v>
      </c>
      <c r="V69" s="34">
        <v>19</v>
      </c>
      <c r="W69" s="12">
        <f t="shared" si="103"/>
        <v>105</v>
      </c>
      <c r="X69" s="13" t="s">
        <v>6</v>
      </c>
      <c r="Y69" s="14">
        <f t="shared" si="104"/>
        <v>105</v>
      </c>
      <c r="AA69" s="4">
        <f t="shared" si="84"/>
        <v>5</v>
      </c>
      <c r="AB69" s="4" t="str">
        <f t="shared" si="85"/>
        <v>Itália</v>
      </c>
      <c r="AC69" s="4">
        <f t="shared" si="86"/>
        <v>1</v>
      </c>
      <c r="AD69" s="4">
        <f t="shared" si="87"/>
        <v>3</v>
      </c>
      <c r="AE69" s="4">
        <f t="shared" si="88"/>
        <v>2</v>
      </c>
      <c r="AF69" s="4">
        <f t="shared" si="89"/>
        <v>0</v>
      </c>
      <c r="AG69" s="4">
        <f t="shared" si="90"/>
        <v>0</v>
      </c>
      <c r="AH69" s="4">
        <f t="shared" si="91"/>
        <v>1</v>
      </c>
      <c r="AI69" s="4">
        <f t="shared" si="92"/>
        <v>105</v>
      </c>
      <c r="AJ69" s="4">
        <f t="shared" si="93"/>
        <v>105</v>
      </c>
      <c r="AL69" s="4" t="str">
        <f t="shared" si="94"/>
        <v>Japão</v>
      </c>
      <c r="AM69" s="4">
        <f t="shared" si="95"/>
        <v>1</v>
      </c>
      <c r="AN69" s="4">
        <f t="shared" si="96"/>
        <v>2</v>
      </c>
      <c r="AO69" s="4">
        <f t="shared" si="97"/>
        <v>3</v>
      </c>
      <c r="AP69" s="4">
        <f t="shared" si="98"/>
        <v>1</v>
      </c>
      <c r="AQ69" s="4">
        <f t="shared" si="99"/>
        <v>0</v>
      </c>
      <c r="AR69" s="4">
        <f t="shared" si="100"/>
        <v>0</v>
      </c>
      <c r="AS69" s="4">
        <f t="shared" si="101"/>
        <v>105</v>
      </c>
      <c r="AT69" s="4">
        <f t="shared" si="102"/>
        <v>105</v>
      </c>
      <c r="AU69" s="55"/>
      <c r="AV69" s="7" t="s">
        <v>92</v>
      </c>
    </row>
    <row r="70" spans="2:64" x14ac:dyDescent="0.25">
      <c r="B70" s="18">
        <v>45829</v>
      </c>
      <c r="C70" s="26" t="s">
        <v>52</v>
      </c>
      <c r="D70" s="33">
        <v>3</v>
      </c>
      <c r="E70" s="11" t="s">
        <v>6</v>
      </c>
      <c r="F70" s="34">
        <v>0</v>
      </c>
      <c r="G70" s="22" t="s">
        <v>58</v>
      </c>
      <c r="H70" s="33">
        <v>25</v>
      </c>
      <c r="I70" s="11" t="s">
        <v>6</v>
      </c>
      <c r="J70" s="34">
        <v>18</v>
      </c>
      <c r="K70" s="33">
        <v>25</v>
      </c>
      <c r="L70" s="11" t="s">
        <v>6</v>
      </c>
      <c r="M70" s="34">
        <v>16</v>
      </c>
      <c r="N70" s="33">
        <v>32</v>
      </c>
      <c r="O70" s="11" t="s">
        <v>6</v>
      </c>
      <c r="P70" s="34">
        <v>30</v>
      </c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82</v>
      </c>
      <c r="X70" s="13" t="s">
        <v>6</v>
      </c>
      <c r="Y70" s="14">
        <f t="shared" si="104"/>
        <v>64</v>
      </c>
      <c r="AA70" s="4">
        <f t="shared" si="84"/>
        <v>3</v>
      </c>
      <c r="AB70" s="4" t="str">
        <f t="shared" si="85"/>
        <v>Chéquia</v>
      </c>
      <c r="AC70" s="4">
        <f t="shared" si="86"/>
        <v>1</v>
      </c>
      <c r="AD70" s="4">
        <f t="shared" si="87"/>
        <v>3</v>
      </c>
      <c r="AE70" s="4">
        <f t="shared" si="88"/>
        <v>0</v>
      </c>
      <c r="AF70" s="4">
        <f t="shared" si="89"/>
        <v>1</v>
      </c>
      <c r="AG70" s="4">
        <f t="shared" si="90"/>
        <v>0</v>
      </c>
      <c r="AH70" s="4">
        <f t="shared" si="91"/>
        <v>0</v>
      </c>
      <c r="AI70" s="4">
        <f t="shared" si="92"/>
        <v>82</v>
      </c>
      <c r="AJ70" s="4">
        <f t="shared" si="93"/>
        <v>64</v>
      </c>
      <c r="AL70" s="4" t="str">
        <f t="shared" si="94"/>
        <v>Tailândia</v>
      </c>
      <c r="AM70" s="4">
        <f t="shared" si="95"/>
        <v>1</v>
      </c>
      <c r="AN70" s="4">
        <f t="shared" si="96"/>
        <v>0</v>
      </c>
      <c r="AO70" s="4">
        <f t="shared" si="97"/>
        <v>3</v>
      </c>
      <c r="AP70" s="4">
        <f t="shared" si="98"/>
        <v>0</v>
      </c>
      <c r="AQ70" s="4">
        <f t="shared" si="99"/>
        <v>0</v>
      </c>
      <c r="AR70" s="4">
        <f t="shared" si="100"/>
        <v>1</v>
      </c>
      <c r="AS70" s="4">
        <f t="shared" si="101"/>
        <v>64</v>
      </c>
      <c r="AT70" s="4">
        <f t="shared" si="102"/>
        <v>82</v>
      </c>
      <c r="AU70" s="57"/>
      <c r="AV70" s="7" t="s">
        <v>93</v>
      </c>
    </row>
    <row r="71" spans="2:64" x14ac:dyDescent="0.25">
      <c r="B71" s="18">
        <v>45829</v>
      </c>
      <c r="C71" s="26" t="s">
        <v>29</v>
      </c>
      <c r="D71" s="33">
        <v>1</v>
      </c>
      <c r="E71" s="11" t="s">
        <v>6</v>
      </c>
      <c r="F71" s="34">
        <v>3</v>
      </c>
      <c r="G71" s="22" t="s">
        <v>53</v>
      </c>
      <c r="H71" s="33">
        <v>15</v>
      </c>
      <c r="I71" s="11" t="s">
        <v>6</v>
      </c>
      <c r="J71" s="34">
        <v>25</v>
      </c>
      <c r="K71" s="33">
        <v>12</v>
      </c>
      <c r="L71" s="11" t="s">
        <v>6</v>
      </c>
      <c r="M71" s="34">
        <v>25</v>
      </c>
      <c r="N71" s="33">
        <v>25</v>
      </c>
      <c r="O71" s="11" t="s">
        <v>6</v>
      </c>
      <c r="P71" s="34">
        <v>18</v>
      </c>
      <c r="Q71" s="33">
        <v>22</v>
      </c>
      <c r="R71" s="11" t="s">
        <v>6</v>
      </c>
      <c r="S71" s="34">
        <v>25</v>
      </c>
      <c r="T71" s="33"/>
      <c r="U71" s="11" t="s">
        <v>6</v>
      </c>
      <c r="V71" s="34"/>
      <c r="W71" s="12">
        <f t="shared" si="103"/>
        <v>74</v>
      </c>
      <c r="X71" s="13" t="s">
        <v>6</v>
      </c>
      <c r="Y71" s="14">
        <f t="shared" si="104"/>
        <v>93</v>
      </c>
      <c r="AA71" s="4">
        <f t="shared" si="84"/>
        <v>4</v>
      </c>
      <c r="AB71" s="4" t="str">
        <f t="shared" si="85"/>
        <v>China</v>
      </c>
      <c r="AC71" s="4">
        <f t="shared" si="86"/>
        <v>1</v>
      </c>
      <c r="AD71" s="4">
        <f t="shared" si="87"/>
        <v>3</v>
      </c>
      <c r="AE71" s="4">
        <f t="shared" si="88"/>
        <v>1</v>
      </c>
      <c r="AF71" s="4">
        <f t="shared" si="89"/>
        <v>0</v>
      </c>
      <c r="AG71" s="4">
        <f t="shared" si="90"/>
        <v>1</v>
      </c>
      <c r="AH71" s="4">
        <f t="shared" si="91"/>
        <v>0</v>
      </c>
      <c r="AI71" s="4">
        <f t="shared" si="92"/>
        <v>93</v>
      </c>
      <c r="AJ71" s="4">
        <f t="shared" si="93"/>
        <v>74</v>
      </c>
      <c r="AL71" s="4" t="str">
        <f t="shared" si="94"/>
        <v>Japão</v>
      </c>
      <c r="AM71" s="4">
        <f t="shared" si="95"/>
        <v>1</v>
      </c>
      <c r="AN71" s="4">
        <f t="shared" si="96"/>
        <v>1</v>
      </c>
      <c r="AO71" s="4">
        <f t="shared" si="97"/>
        <v>3</v>
      </c>
      <c r="AP71" s="4">
        <f t="shared" si="98"/>
        <v>0</v>
      </c>
      <c r="AQ71" s="4">
        <f t="shared" si="99"/>
        <v>1</v>
      </c>
      <c r="AR71" s="4">
        <f t="shared" si="100"/>
        <v>0</v>
      </c>
      <c r="AS71" s="4">
        <f t="shared" si="101"/>
        <v>74</v>
      </c>
      <c r="AT71" s="4">
        <f t="shared" si="102"/>
        <v>93</v>
      </c>
    </row>
    <row r="72" spans="2:64" x14ac:dyDescent="0.25">
      <c r="B72" s="18">
        <v>45830</v>
      </c>
      <c r="C72" s="26" t="s">
        <v>50</v>
      </c>
      <c r="D72" s="33">
        <v>3</v>
      </c>
      <c r="E72" s="11" t="s">
        <v>6</v>
      </c>
      <c r="F72" s="34">
        <v>2</v>
      </c>
      <c r="G72" s="22" t="s">
        <v>58</v>
      </c>
      <c r="H72" s="33">
        <v>26</v>
      </c>
      <c r="I72" s="11" t="s">
        <v>6</v>
      </c>
      <c r="J72" s="34">
        <v>24</v>
      </c>
      <c r="K72" s="33">
        <v>25</v>
      </c>
      <c r="L72" s="11" t="s">
        <v>6</v>
      </c>
      <c r="M72" s="34">
        <v>13</v>
      </c>
      <c r="N72" s="33">
        <v>21</v>
      </c>
      <c r="O72" s="11" t="s">
        <v>6</v>
      </c>
      <c r="P72" s="34">
        <v>25</v>
      </c>
      <c r="Q72" s="33">
        <v>22</v>
      </c>
      <c r="R72" s="11" t="s">
        <v>6</v>
      </c>
      <c r="S72" s="34">
        <v>25</v>
      </c>
      <c r="T72" s="33">
        <v>15</v>
      </c>
      <c r="U72" s="11" t="s">
        <v>6</v>
      </c>
      <c r="V72" s="34">
        <v>9</v>
      </c>
      <c r="W72" s="12">
        <f t="shared" si="103"/>
        <v>109</v>
      </c>
      <c r="X72" s="13" t="s">
        <v>6</v>
      </c>
      <c r="Y72" s="14">
        <f t="shared" si="104"/>
        <v>96</v>
      </c>
      <c r="AA72" s="4">
        <f t="shared" si="84"/>
        <v>5</v>
      </c>
      <c r="AB72" s="4" t="str">
        <f t="shared" si="85"/>
        <v>Bulgária</v>
      </c>
      <c r="AC72" s="4">
        <f t="shared" si="86"/>
        <v>1</v>
      </c>
      <c r="AD72" s="4">
        <f t="shared" si="87"/>
        <v>3</v>
      </c>
      <c r="AE72" s="4">
        <f t="shared" si="88"/>
        <v>2</v>
      </c>
      <c r="AF72" s="4">
        <f t="shared" si="89"/>
        <v>0</v>
      </c>
      <c r="AG72" s="4">
        <f t="shared" si="90"/>
        <v>0</v>
      </c>
      <c r="AH72" s="4">
        <f t="shared" si="91"/>
        <v>1</v>
      </c>
      <c r="AI72" s="4">
        <f t="shared" si="92"/>
        <v>109</v>
      </c>
      <c r="AJ72" s="4">
        <f t="shared" si="93"/>
        <v>96</v>
      </c>
      <c r="AL72" s="4" t="str">
        <f t="shared" si="94"/>
        <v>Tailândia</v>
      </c>
      <c r="AM72" s="4">
        <f t="shared" si="95"/>
        <v>1</v>
      </c>
      <c r="AN72" s="4">
        <f t="shared" si="96"/>
        <v>2</v>
      </c>
      <c r="AO72" s="4">
        <f t="shared" si="97"/>
        <v>3</v>
      </c>
      <c r="AP72" s="4">
        <f t="shared" si="98"/>
        <v>1</v>
      </c>
      <c r="AQ72" s="4">
        <f t="shared" si="99"/>
        <v>0</v>
      </c>
      <c r="AR72" s="4">
        <f t="shared" si="100"/>
        <v>0</v>
      </c>
      <c r="AS72" s="4">
        <f t="shared" si="101"/>
        <v>96</v>
      </c>
      <c r="AT72" s="4">
        <f t="shared" si="102"/>
        <v>109</v>
      </c>
    </row>
    <row r="73" spans="2:64" x14ac:dyDescent="0.25">
      <c r="B73" s="18">
        <v>45830</v>
      </c>
      <c r="C73" s="26" t="s">
        <v>52</v>
      </c>
      <c r="D73" s="33">
        <v>0</v>
      </c>
      <c r="E73" s="11" t="s">
        <v>6</v>
      </c>
      <c r="F73" s="34">
        <v>3</v>
      </c>
      <c r="G73" s="22" t="s">
        <v>29</v>
      </c>
      <c r="H73" s="33">
        <v>22</v>
      </c>
      <c r="I73" s="11" t="s">
        <v>6</v>
      </c>
      <c r="J73" s="34">
        <v>25</v>
      </c>
      <c r="K73" s="33">
        <v>17</v>
      </c>
      <c r="L73" s="11" t="s">
        <v>6</v>
      </c>
      <c r="M73" s="34">
        <v>25</v>
      </c>
      <c r="N73" s="33">
        <v>20</v>
      </c>
      <c r="O73" s="11" t="s">
        <v>6</v>
      </c>
      <c r="P73" s="34">
        <v>25</v>
      </c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59</v>
      </c>
      <c r="X73" s="13" t="s">
        <v>6</v>
      </c>
      <c r="Y73" s="14">
        <f t="shared" si="104"/>
        <v>75</v>
      </c>
      <c r="AA73" s="4">
        <f t="shared" si="84"/>
        <v>3</v>
      </c>
      <c r="AB73" s="4" t="str">
        <f t="shared" si="85"/>
        <v>Japão</v>
      </c>
      <c r="AC73" s="4">
        <f t="shared" si="86"/>
        <v>1</v>
      </c>
      <c r="AD73" s="4">
        <f t="shared" si="87"/>
        <v>3</v>
      </c>
      <c r="AE73" s="4">
        <f t="shared" si="88"/>
        <v>0</v>
      </c>
      <c r="AF73" s="4">
        <f t="shared" si="89"/>
        <v>1</v>
      </c>
      <c r="AG73" s="4">
        <f t="shared" si="90"/>
        <v>0</v>
      </c>
      <c r="AH73" s="4">
        <f t="shared" si="91"/>
        <v>0</v>
      </c>
      <c r="AI73" s="4">
        <f t="shared" si="92"/>
        <v>75</v>
      </c>
      <c r="AJ73" s="4">
        <f t="shared" si="93"/>
        <v>59</v>
      </c>
      <c r="AL73" s="4" t="str">
        <f t="shared" si="94"/>
        <v>Chéquia</v>
      </c>
      <c r="AM73" s="4">
        <f t="shared" si="95"/>
        <v>1</v>
      </c>
      <c r="AN73" s="4">
        <f t="shared" si="96"/>
        <v>0</v>
      </c>
      <c r="AO73" s="4">
        <f t="shared" si="97"/>
        <v>3</v>
      </c>
      <c r="AP73" s="4">
        <f t="shared" si="98"/>
        <v>0</v>
      </c>
      <c r="AQ73" s="4">
        <f t="shared" si="99"/>
        <v>0</v>
      </c>
      <c r="AR73" s="4">
        <f t="shared" si="100"/>
        <v>1</v>
      </c>
      <c r="AS73" s="4">
        <f t="shared" si="101"/>
        <v>59</v>
      </c>
      <c r="AT73" s="4">
        <f t="shared" si="102"/>
        <v>75</v>
      </c>
    </row>
    <row r="74" spans="2:64" x14ac:dyDescent="0.25">
      <c r="B74" s="18">
        <v>45830</v>
      </c>
      <c r="C74" s="26" t="s">
        <v>53</v>
      </c>
      <c r="D74" s="33">
        <v>0</v>
      </c>
      <c r="E74" s="11" t="s">
        <v>6</v>
      </c>
      <c r="F74" s="34">
        <v>3</v>
      </c>
      <c r="G74" s="22" t="s">
        <v>39</v>
      </c>
      <c r="H74" s="33">
        <v>21</v>
      </c>
      <c r="I74" s="11" t="s">
        <v>6</v>
      </c>
      <c r="J74" s="34">
        <v>25</v>
      </c>
      <c r="K74" s="33">
        <v>30</v>
      </c>
      <c r="L74" s="11" t="s">
        <v>6</v>
      </c>
      <c r="M74" s="34">
        <v>32</v>
      </c>
      <c r="N74" s="33">
        <v>11</v>
      </c>
      <c r="O74" s="11" t="s">
        <v>6</v>
      </c>
      <c r="P74" s="34">
        <v>25</v>
      </c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62</v>
      </c>
      <c r="X74" s="13" t="s">
        <v>6</v>
      </c>
      <c r="Y74" s="14">
        <f t="shared" si="104"/>
        <v>82</v>
      </c>
      <c r="AA74" s="4">
        <f t="shared" si="84"/>
        <v>3</v>
      </c>
      <c r="AB74" s="4" t="str">
        <f t="shared" si="85"/>
        <v>Itália</v>
      </c>
      <c r="AC74" s="4">
        <f t="shared" si="86"/>
        <v>1</v>
      </c>
      <c r="AD74" s="4">
        <f t="shared" si="87"/>
        <v>3</v>
      </c>
      <c r="AE74" s="4">
        <f t="shared" si="88"/>
        <v>0</v>
      </c>
      <c r="AF74" s="4">
        <f t="shared" si="89"/>
        <v>1</v>
      </c>
      <c r="AG74" s="4">
        <f t="shared" si="90"/>
        <v>0</v>
      </c>
      <c r="AH74" s="4">
        <f t="shared" si="91"/>
        <v>0</v>
      </c>
      <c r="AI74" s="4">
        <f t="shared" si="92"/>
        <v>82</v>
      </c>
      <c r="AJ74" s="4">
        <f t="shared" si="93"/>
        <v>62</v>
      </c>
      <c r="AL74" s="4" t="str">
        <f t="shared" si="94"/>
        <v>China</v>
      </c>
      <c r="AM74" s="4">
        <f t="shared" si="95"/>
        <v>1</v>
      </c>
      <c r="AN74" s="4">
        <f t="shared" si="96"/>
        <v>0</v>
      </c>
      <c r="AO74" s="4">
        <f t="shared" si="97"/>
        <v>3</v>
      </c>
      <c r="AP74" s="4">
        <f t="shared" si="98"/>
        <v>0</v>
      </c>
      <c r="AQ74" s="4">
        <f t="shared" si="99"/>
        <v>0</v>
      </c>
      <c r="AR74" s="4">
        <f t="shared" si="100"/>
        <v>1</v>
      </c>
      <c r="AS74" s="4">
        <f t="shared" si="101"/>
        <v>62</v>
      </c>
      <c r="AT74" s="4">
        <f t="shared" si="102"/>
        <v>82</v>
      </c>
    </row>
    <row r="75" spans="2:64" ht="14.25" x14ac:dyDescent="0.25">
      <c r="B75" s="66" t="s">
        <v>70</v>
      </c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</row>
    <row r="76" spans="2:64" x14ac:dyDescent="0.25">
      <c r="B76" s="16" t="s">
        <v>2</v>
      </c>
      <c r="C76" s="24"/>
      <c r="D76" s="67" t="s">
        <v>3</v>
      </c>
      <c r="E76" s="67"/>
      <c r="F76" s="67"/>
      <c r="G76" s="20"/>
      <c r="H76" s="68" t="s">
        <v>4</v>
      </c>
      <c r="I76" s="68"/>
      <c r="J76" s="68"/>
      <c r="K76" s="68" t="s">
        <v>5</v>
      </c>
      <c r="L76" s="68"/>
      <c r="M76" s="68"/>
      <c r="N76" s="68" t="s">
        <v>7</v>
      </c>
      <c r="O76" s="68"/>
      <c r="P76" s="68"/>
      <c r="Q76" s="68" t="s">
        <v>8</v>
      </c>
      <c r="R76" s="68"/>
      <c r="S76" s="68"/>
      <c r="T76" s="68" t="s">
        <v>9</v>
      </c>
      <c r="U76" s="68"/>
      <c r="V76" s="68"/>
      <c r="W76" s="68" t="s">
        <v>10</v>
      </c>
      <c r="X76" s="68"/>
      <c r="Y76" s="68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</row>
    <row r="77" spans="2:64" x14ac:dyDescent="0.25">
      <c r="B77" s="17">
        <v>45826</v>
      </c>
      <c r="C77" s="25" t="s">
        <v>41</v>
      </c>
      <c r="D77" s="33">
        <v>2</v>
      </c>
      <c r="E77" s="11" t="s">
        <v>6</v>
      </c>
      <c r="F77" s="34">
        <v>3</v>
      </c>
      <c r="G77" s="21" t="s">
        <v>42</v>
      </c>
      <c r="H77" s="33">
        <v>23</v>
      </c>
      <c r="I77" s="11" t="s">
        <v>6</v>
      </c>
      <c r="J77" s="34">
        <v>25</v>
      </c>
      <c r="K77" s="33">
        <v>25</v>
      </c>
      <c r="L77" s="11" t="s">
        <v>6</v>
      </c>
      <c r="M77" s="34">
        <v>17</v>
      </c>
      <c r="N77" s="33">
        <v>27</v>
      </c>
      <c r="O77" s="11" t="s">
        <v>6</v>
      </c>
      <c r="P77" s="34">
        <v>25</v>
      </c>
      <c r="Q77" s="33">
        <v>28</v>
      </c>
      <c r="R77" s="11" t="s">
        <v>6</v>
      </c>
      <c r="S77" s="34">
        <v>30</v>
      </c>
      <c r="T77" s="33">
        <v>11</v>
      </c>
      <c r="U77" s="11" t="s">
        <v>6</v>
      </c>
      <c r="V77" s="34">
        <v>15</v>
      </c>
      <c r="W77" s="12">
        <f>SUM(H77,K77,N77,Q77,T77)</f>
        <v>114</v>
      </c>
      <c r="X77" s="13" t="s">
        <v>6</v>
      </c>
      <c r="Y77" s="14">
        <f>SUM(J77,M77,P77,S77,V77)</f>
        <v>112</v>
      </c>
      <c r="AA77" s="4">
        <f t="shared" ref="AA77:AA88" si="105">AD77+AE77</f>
        <v>5</v>
      </c>
      <c r="AB77" s="4" t="str">
        <f t="shared" ref="AB77:AB88" si="106">IF(OR(D77="",F77=""),0,IF(D77&gt;F77,C77,G77))</f>
        <v>Alemanha</v>
      </c>
      <c r="AC77" s="4">
        <f t="shared" ref="AC77:AC88" si="107">IF(OR(D77="",F77=""),0,1)</f>
        <v>1</v>
      </c>
      <c r="AD77" s="4">
        <f t="shared" ref="AD77:AD88" si="108">IF(OR(D77="",F77=""),0,IF(D77&gt;F77,D77,F77))</f>
        <v>3</v>
      </c>
      <c r="AE77" s="4">
        <f t="shared" ref="AE77:AE88" si="109">IF(OR(D77="",F77=""),0,IF(D77&gt;F77,F77,D77))</f>
        <v>2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1</v>
      </c>
      <c r="AI77" s="4">
        <f t="shared" ref="AI77:AI88" si="113">IF(D77&gt;F77,SUM(H77,K77,N77,Q77,T77,),SUM(J77,M77,P77,S77,V77))</f>
        <v>112</v>
      </c>
      <c r="AJ77" s="4">
        <f t="shared" ref="AJ77:AJ88" si="114">IF(D77&gt;F77,SUM(J77,M77,P77,S77,V77),SUM(H77,K77,N77,Q77,T77))</f>
        <v>114</v>
      </c>
      <c r="AL77" s="4" t="str">
        <f t="shared" ref="AL77:AL88" si="115">IF(OR(D77="",F77=""),0,IF(D77&lt;F77,C77,G77))</f>
        <v>França</v>
      </c>
      <c r="AM77" s="4">
        <f t="shared" ref="AM77:AM88" si="116">IF(OR(D77="",F77=""),0,1)</f>
        <v>1</v>
      </c>
      <c r="AN77" s="4">
        <f t="shared" ref="AN77:AN88" si="117">IF(OR(D77="",F77=""),0,IF(D77&lt;F77,D77,F77))</f>
        <v>2</v>
      </c>
      <c r="AO77" s="4">
        <f t="shared" ref="AO77:AO88" si="118">IF(OR(D77="",F77=""),0,IF(D77&lt;F77,F77,D77))</f>
        <v>3</v>
      </c>
      <c r="AP77" s="4">
        <f t="shared" ref="AP77:AP88" si="119">IF(AND(AN77=2,AO77=3),1,0)</f>
        <v>1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114</v>
      </c>
      <c r="AT77" s="4">
        <f t="shared" ref="AT77:AT88" si="123">IF(D77&lt;F77,SUM(J77,M77,P77,S77,V77),SUM(H77,K77,N77,Q77,T77))</f>
        <v>112</v>
      </c>
    </row>
    <row r="78" spans="2:64" x14ac:dyDescent="0.25">
      <c r="B78" s="17">
        <v>45826</v>
      </c>
      <c r="C78" s="25" t="s">
        <v>37</v>
      </c>
      <c r="D78" s="33">
        <v>2</v>
      </c>
      <c r="E78" s="11" t="s">
        <v>6</v>
      </c>
      <c r="F78" s="34">
        <v>3</v>
      </c>
      <c r="G78" s="21" t="s">
        <v>40</v>
      </c>
      <c r="H78" s="33">
        <v>25</v>
      </c>
      <c r="I78" s="11" t="s">
        <v>6</v>
      </c>
      <c r="J78" s="34">
        <v>17</v>
      </c>
      <c r="K78" s="33">
        <v>23</v>
      </c>
      <c r="L78" s="11" t="s">
        <v>6</v>
      </c>
      <c r="M78" s="34">
        <v>25</v>
      </c>
      <c r="N78" s="33">
        <v>25</v>
      </c>
      <c r="O78" s="11" t="s">
        <v>6</v>
      </c>
      <c r="P78" s="34">
        <v>17</v>
      </c>
      <c r="Q78" s="33">
        <v>12</v>
      </c>
      <c r="R78" s="11" t="s">
        <v>6</v>
      </c>
      <c r="S78" s="34">
        <v>25</v>
      </c>
      <c r="T78" s="33">
        <v>11</v>
      </c>
      <c r="U78" s="11" t="s">
        <v>6</v>
      </c>
      <c r="V78" s="34">
        <v>15</v>
      </c>
      <c r="W78" s="12">
        <f t="shared" ref="W78:W88" si="124">SUM(H78,K78,N78,Q78,T78)</f>
        <v>96</v>
      </c>
      <c r="X78" s="13" t="s">
        <v>6</v>
      </c>
      <c r="Y78" s="14">
        <f t="shared" ref="Y78:Y88" si="125">SUM(J78,M78,P78,S78,V78)</f>
        <v>99</v>
      </c>
      <c r="AA78" s="4">
        <f t="shared" si="105"/>
        <v>5</v>
      </c>
      <c r="AB78" s="4" t="str">
        <f t="shared" si="106"/>
        <v>Polônia</v>
      </c>
      <c r="AC78" s="4">
        <f t="shared" si="107"/>
        <v>1</v>
      </c>
      <c r="AD78" s="4">
        <f t="shared" si="108"/>
        <v>3</v>
      </c>
      <c r="AE78" s="4">
        <f t="shared" si="109"/>
        <v>2</v>
      </c>
      <c r="AF78" s="4">
        <f t="shared" si="110"/>
        <v>0</v>
      </c>
      <c r="AG78" s="4">
        <f t="shared" si="111"/>
        <v>0</v>
      </c>
      <c r="AH78" s="4">
        <f t="shared" si="112"/>
        <v>1</v>
      </c>
      <c r="AI78" s="4">
        <f t="shared" si="113"/>
        <v>99</v>
      </c>
      <c r="AJ78" s="4">
        <f t="shared" si="114"/>
        <v>96</v>
      </c>
      <c r="AL78" s="4" t="str">
        <f t="shared" si="115"/>
        <v>Holanda</v>
      </c>
      <c r="AM78" s="4">
        <f t="shared" si="116"/>
        <v>1</v>
      </c>
      <c r="AN78" s="4">
        <f t="shared" si="117"/>
        <v>2</v>
      </c>
      <c r="AO78" s="4">
        <f t="shared" si="118"/>
        <v>3</v>
      </c>
      <c r="AP78" s="4">
        <f t="shared" si="119"/>
        <v>1</v>
      </c>
      <c r="AQ78" s="4">
        <f t="shared" si="120"/>
        <v>0</v>
      </c>
      <c r="AR78" s="4">
        <f t="shared" si="121"/>
        <v>0</v>
      </c>
      <c r="AS78" s="4">
        <f t="shared" si="122"/>
        <v>96</v>
      </c>
      <c r="AT78" s="4">
        <f t="shared" si="123"/>
        <v>99</v>
      </c>
    </row>
    <row r="79" spans="2:64" x14ac:dyDescent="0.25">
      <c r="B79" s="17">
        <v>45826</v>
      </c>
      <c r="C79" s="25" t="s">
        <v>57</v>
      </c>
      <c r="D79" s="33">
        <v>2</v>
      </c>
      <c r="E79" s="11" t="s">
        <v>6</v>
      </c>
      <c r="F79" s="34">
        <v>3</v>
      </c>
      <c r="G79" s="21" t="s">
        <v>55</v>
      </c>
      <c r="H79" s="33">
        <v>22</v>
      </c>
      <c r="I79" s="11" t="s">
        <v>6</v>
      </c>
      <c r="J79" s="34">
        <v>25</v>
      </c>
      <c r="K79" s="33">
        <v>20</v>
      </c>
      <c r="L79" s="11" t="s">
        <v>6</v>
      </c>
      <c r="M79" s="34">
        <v>25</v>
      </c>
      <c r="N79" s="33">
        <v>25</v>
      </c>
      <c r="O79" s="11" t="s">
        <v>6</v>
      </c>
      <c r="P79" s="34">
        <v>22</v>
      </c>
      <c r="Q79" s="33">
        <v>25</v>
      </c>
      <c r="R79" s="11" t="s">
        <v>6</v>
      </c>
      <c r="S79" s="34">
        <v>22</v>
      </c>
      <c r="T79" s="33">
        <v>11</v>
      </c>
      <c r="U79" s="11" t="s">
        <v>6</v>
      </c>
      <c r="V79" s="34">
        <v>15</v>
      </c>
      <c r="W79" s="12">
        <f t="shared" si="124"/>
        <v>103</v>
      </c>
      <c r="X79" s="13" t="s">
        <v>6</v>
      </c>
      <c r="Y79" s="14">
        <f t="shared" si="125"/>
        <v>109</v>
      </c>
      <c r="AA79" s="4">
        <f t="shared" si="105"/>
        <v>5</v>
      </c>
      <c r="AB79" s="4" t="str">
        <f t="shared" si="106"/>
        <v>Estados Unidos</v>
      </c>
      <c r="AC79" s="4">
        <f t="shared" si="107"/>
        <v>1</v>
      </c>
      <c r="AD79" s="4">
        <f t="shared" si="108"/>
        <v>3</v>
      </c>
      <c r="AE79" s="4">
        <f t="shared" si="109"/>
        <v>2</v>
      </c>
      <c r="AF79" s="4">
        <f t="shared" si="110"/>
        <v>0</v>
      </c>
      <c r="AG79" s="4">
        <f t="shared" si="111"/>
        <v>0</v>
      </c>
      <c r="AH79" s="4">
        <f t="shared" si="112"/>
        <v>1</v>
      </c>
      <c r="AI79" s="4">
        <f t="shared" si="113"/>
        <v>109</v>
      </c>
      <c r="AJ79" s="4">
        <f t="shared" si="114"/>
        <v>103</v>
      </c>
      <c r="AL79" s="4" t="str">
        <f t="shared" si="115"/>
        <v>Sérvia</v>
      </c>
      <c r="AM79" s="4">
        <f t="shared" si="116"/>
        <v>1</v>
      </c>
      <c r="AN79" s="4">
        <f t="shared" si="117"/>
        <v>2</v>
      </c>
      <c r="AO79" s="4">
        <f t="shared" si="118"/>
        <v>3</v>
      </c>
      <c r="AP79" s="4">
        <f t="shared" si="119"/>
        <v>1</v>
      </c>
      <c r="AQ79" s="4">
        <f t="shared" si="120"/>
        <v>0</v>
      </c>
      <c r="AR79" s="4">
        <f t="shared" si="121"/>
        <v>0</v>
      </c>
      <c r="AS79" s="4">
        <f t="shared" si="122"/>
        <v>103</v>
      </c>
      <c r="AT79" s="4">
        <f t="shared" si="123"/>
        <v>109</v>
      </c>
    </row>
    <row r="80" spans="2:64" x14ac:dyDescent="0.25">
      <c r="B80" s="17">
        <v>45827</v>
      </c>
      <c r="C80" s="25" t="s">
        <v>55</v>
      </c>
      <c r="D80" s="33">
        <v>1</v>
      </c>
      <c r="E80" s="11" t="s">
        <v>6</v>
      </c>
      <c r="F80" s="34">
        <v>3</v>
      </c>
      <c r="G80" s="21" t="s">
        <v>40</v>
      </c>
      <c r="H80" s="33">
        <v>25</v>
      </c>
      <c r="I80" s="11" t="s">
        <v>6</v>
      </c>
      <c r="J80" s="34">
        <v>20</v>
      </c>
      <c r="K80" s="33">
        <v>20</v>
      </c>
      <c r="L80" s="11" t="s">
        <v>6</v>
      </c>
      <c r="M80" s="34">
        <v>25</v>
      </c>
      <c r="N80" s="33">
        <v>17</v>
      </c>
      <c r="O80" s="11" t="s">
        <v>6</v>
      </c>
      <c r="P80" s="34">
        <v>25</v>
      </c>
      <c r="Q80" s="33">
        <v>18</v>
      </c>
      <c r="R80" s="11" t="s">
        <v>6</v>
      </c>
      <c r="S80" s="34">
        <v>25</v>
      </c>
      <c r="T80" s="33"/>
      <c r="U80" s="11" t="s">
        <v>6</v>
      </c>
      <c r="V80" s="34"/>
      <c r="W80" s="12">
        <f t="shared" si="124"/>
        <v>80</v>
      </c>
      <c r="X80" s="13" t="s">
        <v>6</v>
      </c>
      <c r="Y80" s="14">
        <f t="shared" si="125"/>
        <v>95</v>
      </c>
      <c r="AA80" s="4">
        <f t="shared" si="105"/>
        <v>4</v>
      </c>
      <c r="AB80" s="4" t="str">
        <f t="shared" si="106"/>
        <v>Polônia</v>
      </c>
      <c r="AC80" s="4">
        <f t="shared" si="107"/>
        <v>1</v>
      </c>
      <c r="AD80" s="4">
        <f t="shared" si="108"/>
        <v>3</v>
      </c>
      <c r="AE80" s="4">
        <f t="shared" si="109"/>
        <v>1</v>
      </c>
      <c r="AF80" s="4">
        <f t="shared" si="110"/>
        <v>0</v>
      </c>
      <c r="AG80" s="4">
        <f t="shared" si="111"/>
        <v>1</v>
      </c>
      <c r="AH80" s="4">
        <f t="shared" si="112"/>
        <v>0</v>
      </c>
      <c r="AI80" s="4">
        <f t="shared" si="113"/>
        <v>95</v>
      </c>
      <c r="AJ80" s="4">
        <f t="shared" si="114"/>
        <v>80</v>
      </c>
      <c r="AL80" s="4" t="str">
        <f t="shared" si="115"/>
        <v>Estados Unidos</v>
      </c>
      <c r="AM80" s="4">
        <f t="shared" si="116"/>
        <v>1</v>
      </c>
      <c r="AN80" s="4">
        <f t="shared" si="117"/>
        <v>1</v>
      </c>
      <c r="AO80" s="4">
        <f t="shared" si="118"/>
        <v>3</v>
      </c>
      <c r="AP80" s="4">
        <f t="shared" si="119"/>
        <v>0</v>
      </c>
      <c r="AQ80" s="4">
        <f t="shared" si="120"/>
        <v>1</v>
      </c>
      <c r="AR80" s="4">
        <f t="shared" si="121"/>
        <v>0</v>
      </c>
      <c r="AS80" s="4">
        <f t="shared" si="122"/>
        <v>80</v>
      </c>
      <c r="AT80" s="4">
        <f t="shared" si="123"/>
        <v>95</v>
      </c>
    </row>
    <row r="81" spans="2:64" x14ac:dyDescent="0.25">
      <c r="B81" s="17">
        <v>45827</v>
      </c>
      <c r="C81" s="25" t="s">
        <v>42</v>
      </c>
      <c r="D81" s="33">
        <v>3</v>
      </c>
      <c r="E81" s="11" t="s">
        <v>6</v>
      </c>
      <c r="F81" s="34">
        <v>1</v>
      </c>
      <c r="G81" s="21" t="s">
        <v>57</v>
      </c>
      <c r="H81" s="33">
        <v>25</v>
      </c>
      <c r="I81" s="11" t="s">
        <v>6</v>
      </c>
      <c r="J81" s="34">
        <v>20</v>
      </c>
      <c r="K81" s="33">
        <v>23</v>
      </c>
      <c r="L81" s="11" t="s">
        <v>6</v>
      </c>
      <c r="M81" s="34">
        <v>25</v>
      </c>
      <c r="N81" s="33">
        <v>25</v>
      </c>
      <c r="O81" s="11" t="s">
        <v>6</v>
      </c>
      <c r="P81" s="34">
        <v>17</v>
      </c>
      <c r="Q81" s="33">
        <v>25</v>
      </c>
      <c r="R81" s="11" t="s">
        <v>6</v>
      </c>
      <c r="S81" s="34">
        <v>23</v>
      </c>
      <c r="T81" s="33"/>
      <c r="U81" s="11" t="s">
        <v>6</v>
      </c>
      <c r="V81" s="34"/>
      <c r="W81" s="12">
        <f t="shared" si="124"/>
        <v>98</v>
      </c>
      <c r="X81" s="13" t="s">
        <v>6</v>
      </c>
      <c r="Y81" s="14">
        <f t="shared" si="125"/>
        <v>85</v>
      </c>
      <c r="AA81" s="4">
        <f t="shared" si="105"/>
        <v>4</v>
      </c>
      <c r="AB81" s="4" t="str">
        <f t="shared" si="106"/>
        <v>Alemanha</v>
      </c>
      <c r="AC81" s="4">
        <f t="shared" si="107"/>
        <v>1</v>
      </c>
      <c r="AD81" s="4">
        <f t="shared" si="108"/>
        <v>3</v>
      </c>
      <c r="AE81" s="4">
        <f t="shared" si="109"/>
        <v>1</v>
      </c>
      <c r="AF81" s="4">
        <f t="shared" si="110"/>
        <v>0</v>
      </c>
      <c r="AG81" s="4">
        <f t="shared" si="111"/>
        <v>1</v>
      </c>
      <c r="AH81" s="4">
        <f t="shared" si="112"/>
        <v>0</v>
      </c>
      <c r="AI81" s="4">
        <f t="shared" si="113"/>
        <v>98</v>
      </c>
      <c r="AJ81" s="4">
        <f t="shared" si="114"/>
        <v>85</v>
      </c>
      <c r="AL81" s="4" t="str">
        <f t="shared" si="115"/>
        <v>Sérvia</v>
      </c>
      <c r="AM81" s="4">
        <f t="shared" si="116"/>
        <v>1</v>
      </c>
      <c r="AN81" s="4">
        <f t="shared" si="117"/>
        <v>1</v>
      </c>
      <c r="AO81" s="4">
        <f t="shared" si="118"/>
        <v>3</v>
      </c>
      <c r="AP81" s="4">
        <f t="shared" si="119"/>
        <v>0</v>
      </c>
      <c r="AQ81" s="4">
        <f t="shared" si="120"/>
        <v>1</v>
      </c>
      <c r="AR81" s="4">
        <f t="shared" si="121"/>
        <v>0</v>
      </c>
      <c r="AS81" s="4">
        <f t="shared" si="122"/>
        <v>85</v>
      </c>
      <c r="AT81" s="4">
        <f t="shared" si="123"/>
        <v>98</v>
      </c>
    </row>
    <row r="82" spans="2:64" x14ac:dyDescent="0.25">
      <c r="B82" s="17">
        <v>45828</v>
      </c>
      <c r="C82" s="25" t="s">
        <v>41</v>
      </c>
      <c r="D82" s="33">
        <v>3</v>
      </c>
      <c r="E82" s="11" t="s">
        <v>6</v>
      </c>
      <c r="F82" s="34">
        <v>0</v>
      </c>
      <c r="G82" s="21" t="s">
        <v>37</v>
      </c>
      <c r="H82" s="33">
        <v>25</v>
      </c>
      <c r="I82" s="11" t="s">
        <v>6</v>
      </c>
      <c r="J82" s="34">
        <v>21</v>
      </c>
      <c r="K82" s="33">
        <v>25</v>
      </c>
      <c r="L82" s="11" t="s">
        <v>6</v>
      </c>
      <c r="M82" s="34">
        <v>19</v>
      </c>
      <c r="N82" s="33">
        <v>25</v>
      </c>
      <c r="O82" s="11" t="s">
        <v>6</v>
      </c>
      <c r="P82" s="34">
        <v>20</v>
      </c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75</v>
      </c>
      <c r="X82" s="13" t="s">
        <v>6</v>
      </c>
      <c r="Y82" s="14">
        <f t="shared" si="125"/>
        <v>60</v>
      </c>
      <c r="AA82" s="4">
        <f t="shared" si="105"/>
        <v>3</v>
      </c>
      <c r="AB82" s="4" t="str">
        <f t="shared" si="106"/>
        <v>França</v>
      </c>
      <c r="AC82" s="4">
        <f t="shared" si="107"/>
        <v>1</v>
      </c>
      <c r="AD82" s="4">
        <f t="shared" si="108"/>
        <v>3</v>
      </c>
      <c r="AE82" s="4">
        <f t="shared" si="109"/>
        <v>0</v>
      </c>
      <c r="AF82" s="4">
        <f t="shared" si="110"/>
        <v>1</v>
      </c>
      <c r="AG82" s="4">
        <f t="shared" si="111"/>
        <v>0</v>
      </c>
      <c r="AH82" s="4">
        <f t="shared" si="112"/>
        <v>0</v>
      </c>
      <c r="AI82" s="4">
        <f t="shared" si="113"/>
        <v>75</v>
      </c>
      <c r="AJ82" s="4">
        <f t="shared" si="114"/>
        <v>60</v>
      </c>
      <c r="AL82" s="4" t="str">
        <f t="shared" si="115"/>
        <v>Holanda</v>
      </c>
      <c r="AM82" s="4">
        <f t="shared" si="116"/>
        <v>1</v>
      </c>
      <c r="AN82" s="4">
        <f t="shared" si="117"/>
        <v>0</v>
      </c>
      <c r="AO82" s="4">
        <f t="shared" si="118"/>
        <v>3</v>
      </c>
      <c r="AP82" s="4">
        <f t="shared" si="119"/>
        <v>0</v>
      </c>
      <c r="AQ82" s="4">
        <f t="shared" si="120"/>
        <v>0</v>
      </c>
      <c r="AR82" s="4">
        <f t="shared" si="121"/>
        <v>1</v>
      </c>
      <c r="AS82" s="4">
        <f t="shared" si="122"/>
        <v>60</v>
      </c>
      <c r="AT82" s="4">
        <f t="shared" si="123"/>
        <v>75</v>
      </c>
    </row>
    <row r="83" spans="2:64" x14ac:dyDescent="0.25">
      <c r="B83" s="17">
        <v>45828</v>
      </c>
      <c r="C83" s="25" t="s">
        <v>42</v>
      </c>
      <c r="D83" s="33">
        <v>0</v>
      </c>
      <c r="E83" s="11" t="s">
        <v>6</v>
      </c>
      <c r="F83" s="34">
        <v>3</v>
      </c>
      <c r="G83" s="21" t="s">
        <v>40</v>
      </c>
      <c r="H83" s="33">
        <v>16</v>
      </c>
      <c r="I83" s="11" t="s">
        <v>6</v>
      </c>
      <c r="J83" s="34">
        <v>25</v>
      </c>
      <c r="K83" s="33">
        <v>16</v>
      </c>
      <c r="L83" s="11" t="s">
        <v>6</v>
      </c>
      <c r="M83" s="34">
        <v>25</v>
      </c>
      <c r="N83" s="33">
        <v>20</v>
      </c>
      <c r="O83" s="11" t="s">
        <v>6</v>
      </c>
      <c r="P83" s="34">
        <v>25</v>
      </c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52</v>
      </c>
      <c r="X83" s="13" t="s">
        <v>6</v>
      </c>
      <c r="Y83" s="14">
        <f t="shared" si="125"/>
        <v>75</v>
      </c>
      <c r="AA83" s="4">
        <f t="shared" si="105"/>
        <v>3</v>
      </c>
      <c r="AB83" s="4" t="str">
        <f t="shared" si="106"/>
        <v>Polônia</v>
      </c>
      <c r="AC83" s="4">
        <f t="shared" si="107"/>
        <v>1</v>
      </c>
      <c r="AD83" s="4">
        <f t="shared" si="108"/>
        <v>3</v>
      </c>
      <c r="AE83" s="4">
        <f t="shared" si="109"/>
        <v>0</v>
      </c>
      <c r="AF83" s="4">
        <f t="shared" si="110"/>
        <v>1</v>
      </c>
      <c r="AG83" s="4">
        <f t="shared" si="111"/>
        <v>0</v>
      </c>
      <c r="AH83" s="4">
        <f t="shared" si="112"/>
        <v>0</v>
      </c>
      <c r="AI83" s="4">
        <f t="shared" si="113"/>
        <v>75</v>
      </c>
      <c r="AJ83" s="4">
        <f t="shared" si="114"/>
        <v>52</v>
      </c>
      <c r="AL83" s="4" t="str">
        <f t="shared" si="115"/>
        <v>Alemanha</v>
      </c>
      <c r="AM83" s="4">
        <f t="shared" si="116"/>
        <v>1</v>
      </c>
      <c r="AN83" s="4">
        <f t="shared" si="117"/>
        <v>0</v>
      </c>
      <c r="AO83" s="4">
        <f t="shared" si="118"/>
        <v>3</v>
      </c>
      <c r="AP83" s="4">
        <f t="shared" si="119"/>
        <v>0</v>
      </c>
      <c r="AQ83" s="4">
        <f t="shared" si="120"/>
        <v>0</v>
      </c>
      <c r="AR83" s="4">
        <f t="shared" si="121"/>
        <v>1</v>
      </c>
      <c r="AS83" s="4">
        <f t="shared" si="122"/>
        <v>52</v>
      </c>
      <c r="AT83" s="4">
        <f t="shared" si="123"/>
        <v>75</v>
      </c>
    </row>
    <row r="84" spans="2:64" x14ac:dyDescent="0.25">
      <c r="B84" s="17">
        <v>45829</v>
      </c>
      <c r="C84" s="25" t="s">
        <v>37</v>
      </c>
      <c r="D84" s="33">
        <v>0</v>
      </c>
      <c r="E84" s="11" t="s">
        <v>6</v>
      </c>
      <c r="F84" s="34">
        <v>3</v>
      </c>
      <c r="G84" s="21" t="s">
        <v>55</v>
      </c>
      <c r="H84" s="33">
        <v>18</v>
      </c>
      <c r="I84" s="11" t="s">
        <v>6</v>
      </c>
      <c r="J84" s="34">
        <v>25</v>
      </c>
      <c r="K84" s="33">
        <v>22</v>
      </c>
      <c r="L84" s="11" t="s">
        <v>6</v>
      </c>
      <c r="M84" s="34">
        <v>25</v>
      </c>
      <c r="N84" s="33">
        <v>19</v>
      </c>
      <c r="O84" s="11" t="s">
        <v>6</v>
      </c>
      <c r="P84" s="34">
        <v>25</v>
      </c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59</v>
      </c>
      <c r="X84" s="13" t="s">
        <v>6</v>
      </c>
      <c r="Y84" s="14">
        <f t="shared" si="125"/>
        <v>75</v>
      </c>
      <c r="AA84" s="4">
        <f t="shared" si="105"/>
        <v>3</v>
      </c>
      <c r="AB84" s="4" t="str">
        <f t="shared" si="106"/>
        <v>Estados Unidos</v>
      </c>
      <c r="AC84" s="4">
        <f t="shared" si="107"/>
        <v>1</v>
      </c>
      <c r="AD84" s="4">
        <f t="shared" si="108"/>
        <v>3</v>
      </c>
      <c r="AE84" s="4">
        <f t="shared" si="109"/>
        <v>0</v>
      </c>
      <c r="AF84" s="4">
        <f t="shared" si="110"/>
        <v>1</v>
      </c>
      <c r="AG84" s="4">
        <f t="shared" si="111"/>
        <v>0</v>
      </c>
      <c r="AH84" s="4">
        <f t="shared" si="112"/>
        <v>0</v>
      </c>
      <c r="AI84" s="4">
        <f t="shared" si="113"/>
        <v>75</v>
      </c>
      <c r="AJ84" s="4">
        <f t="shared" si="114"/>
        <v>59</v>
      </c>
      <c r="AL84" s="4" t="str">
        <f t="shared" si="115"/>
        <v>Holanda</v>
      </c>
      <c r="AM84" s="4">
        <f t="shared" si="116"/>
        <v>1</v>
      </c>
      <c r="AN84" s="4">
        <f t="shared" si="117"/>
        <v>0</v>
      </c>
      <c r="AO84" s="4">
        <f t="shared" si="118"/>
        <v>3</v>
      </c>
      <c r="AP84" s="4">
        <f t="shared" si="119"/>
        <v>0</v>
      </c>
      <c r="AQ84" s="4">
        <f t="shared" si="120"/>
        <v>0</v>
      </c>
      <c r="AR84" s="4">
        <f t="shared" si="121"/>
        <v>1</v>
      </c>
      <c r="AS84" s="4">
        <f t="shared" si="122"/>
        <v>59</v>
      </c>
      <c r="AT84" s="4">
        <f t="shared" si="123"/>
        <v>75</v>
      </c>
    </row>
    <row r="85" spans="2:64" x14ac:dyDescent="0.25">
      <c r="B85" s="17">
        <v>45829</v>
      </c>
      <c r="C85" s="25" t="s">
        <v>41</v>
      </c>
      <c r="D85" s="33">
        <v>3</v>
      </c>
      <c r="E85" s="11" t="s">
        <v>6</v>
      </c>
      <c r="F85" s="34">
        <v>2</v>
      </c>
      <c r="G85" s="21" t="s">
        <v>57</v>
      </c>
      <c r="H85" s="33">
        <v>21</v>
      </c>
      <c r="I85" s="11" t="s">
        <v>6</v>
      </c>
      <c r="J85" s="34">
        <v>25</v>
      </c>
      <c r="K85" s="33">
        <v>25</v>
      </c>
      <c r="L85" s="11" t="s">
        <v>6</v>
      </c>
      <c r="M85" s="34">
        <v>16</v>
      </c>
      <c r="N85" s="33">
        <v>16</v>
      </c>
      <c r="O85" s="11" t="s">
        <v>6</v>
      </c>
      <c r="P85" s="34">
        <v>25</v>
      </c>
      <c r="Q85" s="33">
        <v>25</v>
      </c>
      <c r="R85" s="11" t="s">
        <v>6</v>
      </c>
      <c r="S85" s="34">
        <v>15</v>
      </c>
      <c r="T85" s="33">
        <v>15</v>
      </c>
      <c r="U85" s="11" t="s">
        <v>6</v>
      </c>
      <c r="V85" s="34">
        <v>13</v>
      </c>
      <c r="W85" s="12">
        <f t="shared" si="124"/>
        <v>102</v>
      </c>
      <c r="X85" s="13" t="s">
        <v>6</v>
      </c>
      <c r="Y85" s="14">
        <f t="shared" si="125"/>
        <v>94</v>
      </c>
      <c r="AA85" s="4">
        <f t="shared" si="105"/>
        <v>5</v>
      </c>
      <c r="AB85" s="4" t="str">
        <f t="shared" si="106"/>
        <v>França</v>
      </c>
      <c r="AC85" s="4">
        <f t="shared" si="107"/>
        <v>1</v>
      </c>
      <c r="AD85" s="4">
        <f t="shared" si="108"/>
        <v>3</v>
      </c>
      <c r="AE85" s="4">
        <f t="shared" si="109"/>
        <v>2</v>
      </c>
      <c r="AF85" s="4">
        <f t="shared" si="110"/>
        <v>0</v>
      </c>
      <c r="AG85" s="4">
        <f t="shared" si="111"/>
        <v>0</v>
      </c>
      <c r="AH85" s="4">
        <f t="shared" si="112"/>
        <v>1</v>
      </c>
      <c r="AI85" s="4">
        <f t="shared" si="113"/>
        <v>102</v>
      </c>
      <c r="AJ85" s="4">
        <f t="shared" si="114"/>
        <v>94</v>
      </c>
      <c r="AL85" s="4" t="str">
        <f t="shared" si="115"/>
        <v>Sérvia</v>
      </c>
      <c r="AM85" s="4">
        <f t="shared" si="116"/>
        <v>1</v>
      </c>
      <c r="AN85" s="4">
        <f t="shared" si="117"/>
        <v>2</v>
      </c>
      <c r="AO85" s="4">
        <f t="shared" si="118"/>
        <v>3</v>
      </c>
      <c r="AP85" s="4">
        <f t="shared" si="119"/>
        <v>1</v>
      </c>
      <c r="AQ85" s="4">
        <f t="shared" si="120"/>
        <v>0</v>
      </c>
      <c r="AR85" s="4">
        <f t="shared" si="121"/>
        <v>0</v>
      </c>
      <c r="AS85" s="4">
        <f t="shared" si="122"/>
        <v>94</v>
      </c>
      <c r="AT85" s="4">
        <f t="shared" si="123"/>
        <v>102</v>
      </c>
    </row>
    <row r="86" spans="2:64" x14ac:dyDescent="0.25">
      <c r="B86" s="17">
        <v>45830</v>
      </c>
      <c r="C86" s="25" t="s">
        <v>42</v>
      </c>
      <c r="D86" s="33">
        <v>2</v>
      </c>
      <c r="E86" s="11" t="s">
        <v>6</v>
      </c>
      <c r="F86" s="34">
        <v>3</v>
      </c>
      <c r="G86" s="21" t="s">
        <v>37</v>
      </c>
      <c r="H86" s="33">
        <v>23</v>
      </c>
      <c r="I86" s="11" t="s">
        <v>6</v>
      </c>
      <c r="J86" s="34">
        <v>25</v>
      </c>
      <c r="K86" s="33">
        <v>25</v>
      </c>
      <c r="L86" s="11" t="s">
        <v>6</v>
      </c>
      <c r="M86" s="34">
        <v>19</v>
      </c>
      <c r="N86" s="33">
        <v>21</v>
      </c>
      <c r="O86" s="11" t="s">
        <v>6</v>
      </c>
      <c r="P86" s="34">
        <v>25</v>
      </c>
      <c r="Q86" s="33">
        <v>25</v>
      </c>
      <c r="R86" s="11" t="s">
        <v>6</v>
      </c>
      <c r="S86" s="34">
        <v>23</v>
      </c>
      <c r="T86" s="33">
        <v>10</v>
      </c>
      <c r="U86" s="11" t="s">
        <v>6</v>
      </c>
      <c r="V86" s="34">
        <v>15</v>
      </c>
      <c r="W86" s="12">
        <f t="shared" si="124"/>
        <v>104</v>
      </c>
      <c r="X86" s="13" t="s">
        <v>6</v>
      </c>
      <c r="Y86" s="14">
        <f t="shared" si="125"/>
        <v>107</v>
      </c>
      <c r="AA86" s="4">
        <f t="shared" si="105"/>
        <v>5</v>
      </c>
      <c r="AB86" s="4" t="str">
        <f t="shared" si="106"/>
        <v>Holanda</v>
      </c>
      <c r="AC86" s="4">
        <f t="shared" si="107"/>
        <v>1</v>
      </c>
      <c r="AD86" s="4">
        <f t="shared" si="108"/>
        <v>3</v>
      </c>
      <c r="AE86" s="4">
        <f t="shared" si="109"/>
        <v>2</v>
      </c>
      <c r="AF86" s="4">
        <f t="shared" si="110"/>
        <v>0</v>
      </c>
      <c r="AG86" s="4">
        <f t="shared" si="111"/>
        <v>0</v>
      </c>
      <c r="AH86" s="4">
        <f t="shared" si="112"/>
        <v>1</v>
      </c>
      <c r="AI86" s="4">
        <f t="shared" si="113"/>
        <v>107</v>
      </c>
      <c r="AJ86" s="4">
        <f t="shared" si="114"/>
        <v>104</v>
      </c>
      <c r="AL86" s="4" t="str">
        <f t="shared" si="115"/>
        <v>Alemanha</v>
      </c>
      <c r="AM86" s="4">
        <f t="shared" si="116"/>
        <v>1</v>
      </c>
      <c r="AN86" s="4">
        <f t="shared" si="117"/>
        <v>2</v>
      </c>
      <c r="AO86" s="4">
        <f t="shared" si="118"/>
        <v>3</v>
      </c>
      <c r="AP86" s="4">
        <f t="shared" si="119"/>
        <v>1</v>
      </c>
      <c r="AQ86" s="4">
        <f t="shared" si="120"/>
        <v>0</v>
      </c>
      <c r="AR86" s="4">
        <f t="shared" si="121"/>
        <v>0</v>
      </c>
      <c r="AS86" s="4">
        <f t="shared" si="122"/>
        <v>104</v>
      </c>
      <c r="AT86" s="4">
        <f t="shared" si="123"/>
        <v>107</v>
      </c>
    </row>
    <row r="87" spans="2:64" x14ac:dyDescent="0.25">
      <c r="B87" s="17">
        <v>45830</v>
      </c>
      <c r="C87" s="25" t="s">
        <v>41</v>
      </c>
      <c r="D87" s="33">
        <v>2</v>
      </c>
      <c r="E87" s="11" t="s">
        <v>6</v>
      </c>
      <c r="F87" s="34">
        <v>3</v>
      </c>
      <c r="G87" s="21" t="s">
        <v>55</v>
      </c>
      <c r="H87" s="33">
        <v>22</v>
      </c>
      <c r="I87" s="11" t="s">
        <v>6</v>
      </c>
      <c r="J87" s="34">
        <v>25</v>
      </c>
      <c r="K87" s="33">
        <v>24</v>
      </c>
      <c r="L87" s="11" t="s">
        <v>6</v>
      </c>
      <c r="M87" s="34">
        <v>26</v>
      </c>
      <c r="N87" s="33">
        <v>25</v>
      </c>
      <c r="O87" s="11" t="s">
        <v>6</v>
      </c>
      <c r="P87" s="34">
        <v>20</v>
      </c>
      <c r="Q87" s="33">
        <v>25</v>
      </c>
      <c r="R87" s="11" t="s">
        <v>6</v>
      </c>
      <c r="S87" s="34">
        <v>21</v>
      </c>
      <c r="T87" s="33">
        <v>13</v>
      </c>
      <c r="U87" s="11" t="s">
        <v>6</v>
      </c>
      <c r="V87" s="34">
        <v>15</v>
      </c>
      <c r="W87" s="12">
        <f t="shared" si="124"/>
        <v>109</v>
      </c>
      <c r="X87" s="13" t="s">
        <v>6</v>
      </c>
      <c r="Y87" s="14">
        <f t="shared" si="125"/>
        <v>107</v>
      </c>
      <c r="AA87" s="4">
        <f t="shared" si="105"/>
        <v>5</v>
      </c>
      <c r="AB87" s="4" t="str">
        <f t="shared" si="106"/>
        <v>Estados Unidos</v>
      </c>
      <c r="AC87" s="4">
        <f t="shared" si="107"/>
        <v>1</v>
      </c>
      <c r="AD87" s="4">
        <f t="shared" si="108"/>
        <v>3</v>
      </c>
      <c r="AE87" s="4">
        <f t="shared" si="109"/>
        <v>2</v>
      </c>
      <c r="AF87" s="4">
        <f t="shared" si="110"/>
        <v>0</v>
      </c>
      <c r="AG87" s="4">
        <f t="shared" si="111"/>
        <v>0</v>
      </c>
      <c r="AH87" s="4">
        <f t="shared" si="112"/>
        <v>1</v>
      </c>
      <c r="AI87" s="4">
        <f t="shared" si="113"/>
        <v>107</v>
      </c>
      <c r="AJ87" s="4">
        <f t="shared" si="114"/>
        <v>109</v>
      </c>
      <c r="AL87" s="4" t="str">
        <f t="shared" si="115"/>
        <v>França</v>
      </c>
      <c r="AM87" s="4">
        <f t="shared" si="116"/>
        <v>1</v>
      </c>
      <c r="AN87" s="4">
        <f t="shared" si="117"/>
        <v>2</v>
      </c>
      <c r="AO87" s="4">
        <f t="shared" si="118"/>
        <v>3</v>
      </c>
      <c r="AP87" s="4">
        <f t="shared" si="119"/>
        <v>1</v>
      </c>
      <c r="AQ87" s="4">
        <f t="shared" si="120"/>
        <v>0</v>
      </c>
      <c r="AR87" s="4">
        <f t="shared" si="121"/>
        <v>0</v>
      </c>
      <c r="AS87" s="4">
        <f t="shared" si="122"/>
        <v>109</v>
      </c>
      <c r="AT87" s="4">
        <f t="shared" si="123"/>
        <v>107</v>
      </c>
    </row>
    <row r="88" spans="2:64" x14ac:dyDescent="0.25">
      <c r="B88" s="17">
        <v>45830</v>
      </c>
      <c r="C88" s="25" t="s">
        <v>57</v>
      </c>
      <c r="D88" s="33">
        <v>1</v>
      </c>
      <c r="E88" s="11" t="s">
        <v>6</v>
      </c>
      <c r="F88" s="34">
        <v>3</v>
      </c>
      <c r="G88" s="21" t="s">
        <v>40</v>
      </c>
      <c r="H88" s="33">
        <v>25</v>
      </c>
      <c r="I88" s="11" t="s">
        <v>6</v>
      </c>
      <c r="J88" s="34">
        <v>22</v>
      </c>
      <c r="K88" s="33">
        <v>22</v>
      </c>
      <c r="L88" s="11" t="s">
        <v>6</v>
      </c>
      <c r="M88" s="34">
        <v>25</v>
      </c>
      <c r="N88" s="33">
        <v>22</v>
      </c>
      <c r="O88" s="11" t="s">
        <v>6</v>
      </c>
      <c r="P88" s="34">
        <v>25</v>
      </c>
      <c r="Q88" s="33">
        <v>23</v>
      </c>
      <c r="R88" s="11" t="s">
        <v>6</v>
      </c>
      <c r="S88" s="34">
        <v>25</v>
      </c>
      <c r="T88" s="33"/>
      <c r="U88" s="11" t="s">
        <v>6</v>
      </c>
      <c r="V88" s="34"/>
      <c r="W88" s="12">
        <f t="shared" si="124"/>
        <v>92</v>
      </c>
      <c r="X88" s="13" t="s">
        <v>6</v>
      </c>
      <c r="Y88" s="14">
        <f t="shared" si="125"/>
        <v>97</v>
      </c>
      <c r="AA88" s="4">
        <f t="shared" si="105"/>
        <v>4</v>
      </c>
      <c r="AB88" s="4" t="str">
        <f t="shared" si="106"/>
        <v>Polônia</v>
      </c>
      <c r="AC88" s="4">
        <f t="shared" si="107"/>
        <v>1</v>
      </c>
      <c r="AD88" s="4">
        <f t="shared" si="108"/>
        <v>3</v>
      </c>
      <c r="AE88" s="4">
        <f t="shared" si="109"/>
        <v>1</v>
      </c>
      <c r="AF88" s="4">
        <f t="shared" si="110"/>
        <v>0</v>
      </c>
      <c r="AG88" s="4">
        <f t="shared" si="111"/>
        <v>1</v>
      </c>
      <c r="AH88" s="4">
        <f t="shared" si="112"/>
        <v>0</v>
      </c>
      <c r="AI88" s="4">
        <f t="shared" si="113"/>
        <v>97</v>
      </c>
      <c r="AJ88" s="4">
        <f t="shared" si="114"/>
        <v>92</v>
      </c>
      <c r="AL88" s="4" t="str">
        <f t="shared" si="115"/>
        <v>Sérvia</v>
      </c>
      <c r="AM88" s="4">
        <f t="shared" si="116"/>
        <v>1</v>
      </c>
      <c r="AN88" s="4">
        <f t="shared" si="117"/>
        <v>1</v>
      </c>
      <c r="AO88" s="4">
        <f t="shared" si="118"/>
        <v>3</v>
      </c>
      <c r="AP88" s="4">
        <f t="shared" si="119"/>
        <v>0</v>
      </c>
      <c r="AQ88" s="4">
        <f t="shared" si="120"/>
        <v>1</v>
      </c>
      <c r="AR88" s="4">
        <f t="shared" si="121"/>
        <v>0</v>
      </c>
      <c r="AS88" s="4">
        <f t="shared" si="122"/>
        <v>92</v>
      </c>
      <c r="AT88" s="4">
        <f t="shared" si="123"/>
        <v>97</v>
      </c>
    </row>
    <row r="90" spans="2:64" ht="15" x14ac:dyDescent="0.25">
      <c r="B90" s="70" t="s">
        <v>71</v>
      </c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AU90" s="60" t="s">
        <v>79</v>
      </c>
      <c r="AV90" s="61"/>
      <c r="AW90" s="62"/>
      <c r="AX90" s="60" t="s">
        <v>14</v>
      </c>
      <c r="AY90" s="61"/>
      <c r="AZ90" s="62"/>
      <c r="BA90" s="60" t="s">
        <v>60</v>
      </c>
      <c r="BB90" s="61"/>
      <c r="BC90" s="61"/>
      <c r="BD90" s="61"/>
      <c r="BE90" s="61"/>
      <c r="BF90" s="62"/>
      <c r="BG90" s="60" t="s">
        <v>61</v>
      </c>
      <c r="BH90" s="61"/>
      <c r="BI90" s="62"/>
      <c r="BJ90" s="60" t="s">
        <v>62</v>
      </c>
      <c r="BK90" s="61"/>
      <c r="BL90" s="62"/>
    </row>
    <row r="91" spans="2:64" ht="14.25" x14ac:dyDescent="0.25">
      <c r="B91" s="66" t="s">
        <v>72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AU91" s="32" t="s">
        <v>43</v>
      </c>
      <c r="AV91" s="32" t="s">
        <v>44</v>
      </c>
      <c r="AW91" s="32" t="s">
        <v>45</v>
      </c>
      <c r="AX91" s="32" t="s">
        <v>76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77</v>
      </c>
      <c r="BI91" s="32" t="s">
        <v>78</v>
      </c>
      <c r="BJ91" s="32" t="s">
        <v>20</v>
      </c>
      <c r="BK91" s="32" t="s">
        <v>77</v>
      </c>
      <c r="BL91" s="32" t="s">
        <v>78</v>
      </c>
    </row>
    <row r="92" spans="2:64" x14ac:dyDescent="0.25">
      <c r="B92" s="16" t="s">
        <v>2</v>
      </c>
      <c r="C92" s="24"/>
      <c r="D92" s="67" t="s">
        <v>3</v>
      </c>
      <c r="E92" s="67"/>
      <c r="F92" s="67"/>
      <c r="G92" s="20"/>
      <c r="H92" s="68" t="s">
        <v>4</v>
      </c>
      <c r="I92" s="68"/>
      <c r="J92" s="68"/>
      <c r="K92" s="68" t="s">
        <v>5</v>
      </c>
      <c r="L92" s="68"/>
      <c r="M92" s="68"/>
      <c r="N92" s="68" t="s">
        <v>7</v>
      </c>
      <c r="O92" s="68"/>
      <c r="P92" s="68"/>
      <c r="Q92" s="68" t="s">
        <v>8</v>
      </c>
      <c r="R92" s="68"/>
      <c r="S92" s="68"/>
      <c r="T92" s="68" t="s">
        <v>9</v>
      </c>
      <c r="U92" s="68"/>
      <c r="V92" s="68"/>
      <c r="W92" s="68" t="s">
        <v>10</v>
      </c>
      <c r="X92" s="68"/>
      <c r="Y92" s="68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Itália</v>
      </c>
      <c r="AW92" s="28">
        <f>VLOOKUP($AU92,Dummy!$A:$R,3,FALSE)</f>
        <v>22</v>
      </c>
      <c r="AX92" s="28">
        <f>VLOOKUP($AU92,Dummy!$A:$R,4,FALSE)</f>
        <v>8</v>
      </c>
      <c r="AY92" s="28">
        <f>VLOOKUP($AU92,Dummy!$A:$R,5,FALSE)</f>
        <v>8</v>
      </c>
      <c r="AZ92" s="28">
        <f>VLOOKUP($AU92,Dummy!$A:$R,6,FALSE)</f>
        <v>0</v>
      </c>
      <c r="BA92" s="28">
        <f>VLOOKUP($AU92,Dummy!$A:$R,7,FALSE)</f>
        <v>5</v>
      </c>
      <c r="BB92" s="28">
        <f>VLOOKUP($AU92,Dummy!$A:$R,8,FALSE)</f>
        <v>1</v>
      </c>
      <c r="BC92" s="28">
        <f>VLOOKUP($AU92,Dummy!$A:$R,9,FALSE)</f>
        <v>2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24</v>
      </c>
      <c r="BH92" s="28">
        <f>VLOOKUP($AU92,Dummy!$A:$R,14,FALSE)</f>
        <v>5</v>
      </c>
      <c r="BI92" s="29">
        <f>VLOOKUP($AU92,Dummy!$A:$R,15,FALSE)</f>
        <v>4800</v>
      </c>
      <c r="BJ92" s="28">
        <f>VLOOKUP($AU92,Dummy!$A:$R,16,FALSE)</f>
        <v>701</v>
      </c>
      <c r="BK92" s="28">
        <f>VLOOKUP($AU92,Dummy!$A:$R,17,FALSE)</f>
        <v>542</v>
      </c>
      <c r="BL92" s="29">
        <f>VLOOKUP($AU92,Dummy!$A:$R,18,FALSE)</f>
        <v>1293.3579335793356</v>
      </c>
    </row>
    <row r="93" spans="2:64" x14ac:dyDescent="0.25">
      <c r="B93" s="17">
        <v>45847</v>
      </c>
      <c r="C93" s="25" t="s">
        <v>59</v>
      </c>
      <c r="D93" s="33"/>
      <c r="E93" s="11" t="s">
        <v>6</v>
      </c>
      <c r="F93" s="34"/>
      <c r="G93" s="21" t="s">
        <v>57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Polônia</v>
      </c>
      <c r="AW93" s="28">
        <f>VLOOKUP($AU93,Dummy!$A:$R,3,FALSE)</f>
        <v>21</v>
      </c>
      <c r="AX93" s="28">
        <f>VLOOKUP($AU93,Dummy!$A:$R,4,FALSE)</f>
        <v>8</v>
      </c>
      <c r="AY93" s="28">
        <f>VLOOKUP($AU93,Dummy!$A:$R,5,FALSE)</f>
        <v>7</v>
      </c>
      <c r="AZ93" s="28">
        <f>VLOOKUP($AU93,Dummy!$A:$R,6,FALSE)</f>
        <v>1</v>
      </c>
      <c r="BA93" s="28">
        <f>VLOOKUP($AU93,Dummy!$A:$R,7,FALSE)</f>
        <v>3</v>
      </c>
      <c r="BB93" s="28">
        <f>VLOOKUP($AU93,Dummy!$A:$R,8,FALSE)</f>
        <v>3</v>
      </c>
      <c r="BC93" s="28">
        <f>VLOOKUP($AU93,Dummy!$A:$R,9,FALSE)</f>
        <v>1</v>
      </c>
      <c r="BD93" s="28">
        <f>VLOOKUP($AU93,Dummy!$A:$R,10,FALSE)</f>
        <v>1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23</v>
      </c>
      <c r="BH93" s="28">
        <f>VLOOKUP($AU93,Dummy!$A:$R,14,FALSE)</f>
        <v>8</v>
      </c>
      <c r="BI93" s="29">
        <f>VLOOKUP($AU93,Dummy!$A:$R,15,FALSE)</f>
        <v>2875</v>
      </c>
      <c r="BJ93" s="28">
        <f>VLOOKUP($AU93,Dummy!$A:$R,16,FALSE)</f>
        <v>715</v>
      </c>
      <c r="BK93" s="28">
        <f>VLOOKUP($AU93,Dummy!$A:$R,17,FALSE)</f>
        <v>631</v>
      </c>
      <c r="BL93" s="29">
        <f>VLOOKUP($AU93,Dummy!$A:$R,18,FALSE)</f>
        <v>1133.1220285261491</v>
      </c>
    </row>
    <row r="94" spans="2:64" x14ac:dyDescent="0.25">
      <c r="B94" s="17">
        <v>45847</v>
      </c>
      <c r="C94" s="25" t="s">
        <v>39</v>
      </c>
      <c r="D94" s="33"/>
      <c r="E94" s="11" t="s">
        <v>6</v>
      </c>
      <c r="F94" s="34"/>
      <c r="G94" s="21" t="s">
        <v>48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Brasil</v>
      </c>
      <c r="AW94" s="28">
        <f>VLOOKUP($AU94,Dummy!$A:$R,3,FALSE)</f>
        <v>20</v>
      </c>
      <c r="AX94" s="28">
        <f>VLOOKUP($AU94,Dummy!$A:$R,4,FALSE)</f>
        <v>8</v>
      </c>
      <c r="AY94" s="28">
        <f>VLOOKUP($AU94,Dummy!$A:$R,5,FALSE)</f>
        <v>7</v>
      </c>
      <c r="AZ94" s="28">
        <f>VLOOKUP($AU94,Dummy!$A:$R,6,FALSE)</f>
        <v>1</v>
      </c>
      <c r="BA94" s="28">
        <f>VLOOKUP($AU94,Dummy!$A:$R,7,FALSE)</f>
        <v>4</v>
      </c>
      <c r="BB94" s="28">
        <f>VLOOKUP($AU94,Dummy!$A:$R,8,FALSE)</f>
        <v>2</v>
      </c>
      <c r="BC94" s="28">
        <f>VLOOKUP($AU94,Dummy!$A:$R,9,FALSE)</f>
        <v>1</v>
      </c>
      <c r="BD94" s="28">
        <f>VLOOKUP($AU94,Dummy!$A:$R,10,FALSE)</f>
        <v>0</v>
      </c>
      <c r="BE94" s="28">
        <f>VLOOKUP($AU94,Dummy!$A:$R,11,FALSE)</f>
        <v>0</v>
      </c>
      <c r="BF94" s="28">
        <f>VLOOKUP($AU94,Dummy!$A:$R,12,FALSE)</f>
        <v>1</v>
      </c>
      <c r="BG94" s="28">
        <f>VLOOKUP($AU94,Dummy!$A:$R,13,FALSE)</f>
        <v>21</v>
      </c>
      <c r="BH94" s="28">
        <f>VLOOKUP($AU94,Dummy!$A:$R,14,FALSE)</f>
        <v>7</v>
      </c>
      <c r="BI94" s="29">
        <f>VLOOKUP($AU94,Dummy!$A:$R,15,FALSE)</f>
        <v>3000</v>
      </c>
      <c r="BJ94" s="28">
        <f>VLOOKUP($AU94,Dummy!$A:$R,16,FALSE)</f>
        <v>673</v>
      </c>
      <c r="BK94" s="28">
        <f>VLOOKUP($AU94,Dummy!$A:$R,17,FALSE)</f>
        <v>579</v>
      </c>
      <c r="BL94" s="29">
        <f>VLOOKUP($AU94,Dummy!$A:$R,18,FALSE)</f>
        <v>1162.348877374784</v>
      </c>
    </row>
    <row r="95" spans="2:64" x14ac:dyDescent="0.25">
      <c r="B95" s="17">
        <v>45847</v>
      </c>
      <c r="C95" s="25" t="s">
        <v>75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Turquia</v>
      </c>
      <c r="AW95" s="28">
        <f>VLOOKUP($AU95,Dummy!$A:$R,3,FALSE)</f>
        <v>19</v>
      </c>
      <c r="AX95" s="28">
        <f>VLOOKUP($AU95,Dummy!$A:$R,4,FALSE)</f>
        <v>8</v>
      </c>
      <c r="AY95" s="28">
        <f>VLOOKUP($AU95,Dummy!$A:$R,5,FALSE)</f>
        <v>7</v>
      </c>
      <c r="AZ95" s="28">
        <f>VLOOKUP($AU95,Dummy!$A:$R,6,FALSE)</f>
        <v>1</v>
      </c>
      <c r="BA95" s="28">
        <f>VLOOKUP($AU95,Dummy!$A:$R,7,FALSE)</f>
        <v>4</v>
      </c>
      <c r="BB95" s="28">
        <f>VLOOKUP($AU95,Dummy!$A:$R,8,FALSE)</f>
        <v>1</v>
      </c>
      <c r="BC95" s="28">
        <f>VLOOKUP($AU95,Dummy!$A:$R,9,FALSE)</f>
        <v>2</v>
      </c>
      <c r="BD95" s="28">
        <f>VLOOKUP($AU95,Dummy!$A:$R,10,FALSE)</f>
        <v>0</v>
      </c>
      <c r="BE95" s="28">
        <f>VLOOKUP($AU95,Dummy!$A:$R,11,FALSE)</f>
        <v>1</v>
      </c>
      <c r="BF95" s="28">
        <f>VLOOKUP($AU95,Dummy!$A:$R,12,FALSE)</f>
        <v>0</v>
      </c>
      <c r="BG95" s="28">
        <f>VLOOKUP($AU95,Dummy!$A:$R,13,FALSE)</f>
        <v>22</v>
      </c>
      <c r="BH95" s="28">
        <f>VLOOKUP($AU95,Dummy!$A:$R,14,FALSE)</f>
        <v>8</v>
      </c>
      <c r="BI95" s="29">
        <f>VLOOKUP($AU95,Dummy!$A:$R,15,FALSE)</f>
        <v>2750</v>
      </c>
      <c r="BJ95" s="28">
        <f>VLOOKUP($AU95,Dummy!$A:$R,16,FALSE)</f>
        <v>706</v>
      </c>
      <c r="BK95" s="28">
        <f>VLOOKUP($AU95,Dummy!$A:$R,17,FALSE)</f>
        <v>610</v>
      </c>
      <c r="BL95" s="29">
        <f>VLOOKUP($AU95,Dummy!$A:$R,18,FALSE)</f>
        <v>1157.377049180328</v>
      </c>
    </row>
    <row r="96" spans="2:64" x14ac:dyDescent="0.25">
      <c r="B96" s="17">
        <v>45848</v>
      </c>
      <c r="C96" s="25" t="s">
        <v>39</v>
      </c>
      <c r="D96" s="33"/>
      <c r="E96" s="11" t="s">
        <v>6</v>
      </c>
      <c r="F96" s="34"/>
      <c r="G96" s="21" t="s">
        <v>57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Japão</v>
      </c>
      <c r="AW96" s="28">
        <f>VLOOKUP($AU96,Dummy!$A:$R,3,FALSE)</f>
        <v>18</v>
      </c>
      <c r="AX96" s="28">
        <f>VLOOKUP($AU96,Dummy!$A:$R,4,FALSE)</f>
        <v>8</v>
      </c>
      <c r="AY96" s="28">
        <f>VLOOKUP($AU96,Dummy!$A:$R,5,FALSE)</f>
        <v>6</v>
      </c>
      <c r="AZ96" s="28">
        <f>VLOOKUP($AU96,Dummy!$A:$R,6,FALSE)</f>
        <v>2</v>
      </c>
      <c r="BA96" s="28">
        <f>VLOOKUP($AU96,Dummy!$A:$R,7,FALSE)</f>
        <v>5</v>
      </c>
      <c r="BB96" s="28">
        <f>VLOOKUP($AU96,Dummy!$A:$R,8,FALSE)</f>
        <v>0</v>
      </c>
      <c r="BC96" s="28">
        <f>VLOOKUP($AU96,Dummy!$A:$R,9,FALSE)</f>
        <v>1</v>
      </c>
      <c r="BD96" s="28">
        <f>VLOOKUP($AU96,Dummy!$A:$R,10,FALSE)</f>
        <v>1</v>
      </c>
      <c r="BE96" s="28">
        <f>VLOOKUP($AU96,Dummy!$A:$R,11,FALSE)</f>
        <v>1</v>
      </c>
      <c r="BF96" s="28">
        <f>VLOOKUP($AU96,Dummy!$A:$R,12,FALSE)</f>
        <v>0</v>
      </c>
      <c r="BG96" s="28">
        <f>VLOOKUP($AU96,Dummy!$A:$R,13,FALSE)</f>
        <v>21</v>
      </c>
      <c r="BH96" s="28">
        <f>VLOOKUP($AU96,Dummy!$A:$R,14,FALSE)</f>
        <v>8</v>
      </c>
      <c r="BI96" s="29">
        <f>VLOOKUP($AU96,Dummy!$A:$R,15,FALSE)</f>
        <v>2625</v>
      </c>
      <c r="BJ96" s="28">
        <f>VLOOKUP($AU96,Dummy!$A:$R,16,FALSE)</f>
        <v>661</v>
      </c>
      <c r="BK96" s="28">
        <f>VLOOKUP($AU96,Dummy!$A:$R,17,FALSE)</f>
        <v>566</v>
      </c>
      <c r="BL96" s="29">
        <f>VLOOKUP($AU96,Dummy!$A:$R,18,FALSE)</f>
        <v>1167.8445229681979</v>
      </c>
    </row>
    <row r="97" spans="2:64" x14ac:dyDescent="0.25">
      <c r="B97" s="17">
        <v>45848</v>
      </c>
      <c r="C97" s="25" t="s">
        <v>48</v>
      </c>
      <c r="D97" s="33"/>
      <c r="E97" s="11" t="s">
        <v>6</v>
      </c>
      <c r="F97" s="34"/>
      <c r="G97" s="21" t="s">
        <v>75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China</v>
      </c>
      <c r="AW97" s="28">
        <f>VLOOKUP($AU97,Dummy!$A:$R,3,FALSE)</f>
        <v>15</v>
      </c>
      <c r="AX97" s="28">
        <f>VLOOKUP($AU97,Dummy!$A:$R,4,FALSE)</f>
        <v>8</v>
      </c>
      <c r="AY97" s="28">
        <f>VLOOKUP($AU97,Dummy!$A:$R,5,FALSE)</f>
        <v>5</v>
      </c>
      <c r="AZ97" s="28">
        <f>VLOOKUP($AU97,Dummy!$A:$R,6,FALSE)</f>
        <v>3</v>
      </c>
      <c r="BA97" s="28">
        <f>VLOOKUP($AU97,Dummy!$A:$R,7,FALSE)</f>
        <v>2</v>
      </c>
      <c r="BB97" s="28">
        <f>VLOOKUP($AU97,Dummy!$A:$R,8,FALSE)</f>
        <v>2</v>
      </c>
      <c r="BC97" s="28">
        <f>VLOOKUP($AU97,Dummy!$A:$R,9,FALSE)</f>
        <v>1</v>
      </c>
      <c r="BD97" s="28">
        <f>VLOOKUP($AU97,Dummy!$A:$R,10,FALSE)</f>
        <v>1</v>
      </c>
      <c r="BE97" s="28">
        <f>VLOOKUP($AU97,Dummy!$A:$R,11,FALSE)</f>
        <v>1</v>
      </c>
      <c r="BF97" s="28">
        <f>VLOOKUP($AU97,Dummy!$A:$R,12,FALSE)</f>
        <v>1</v>
      </c>
      <c r="BG97" s="28">
        <f>VLOOKUP($AU97,Dummy!$A:$R,13,FALSE)</f>
        <v>18</v>
      </c>
      <c r="BH97" s="28">
        <f>VLOOKUP($AU97,Dummy!$A:$R,14,FALSE)</f>
        <v>13</v>
      </c>
      <c r="BI97" s="29">
        <f>VLOOKUP($AU97,Dummy!$A:$R,15,FALSE)</f>
        <v>1384.6153846153845</v>
      </c>
      <c r="BJ97" s="28">
        <f>VLOOKUP($AU97,Dummy!$A:$R,16,FALSE)</f>
        <v>722</v>
      </c>
      <c r="BK97" s="28">
        <f>VLOOKUP($AU97,Dummy!$A:$R,17,FALSE)</f>
        <v>659</v>
      </c>
      <c r="BL97" s="29">
        <f>VLOOKUP($AU97,Dummy!$A:$R,18,FALSE)</f>
        <v>1095.5993930197267</v>
      </c>
    </row>
    <row r="98" spans="2:64" x14ac:dyDescent="0.25">
      <c r="B98" s="17">
        <v>45849</v>
      </c>
      <c r="C98" s="25" t="s">
        <v>48</v>
      </c>
      <c r="D98" s="33"/>
      <c r="E98" s="11" t="s">
        <v>6</v>
      </c>
      <c r="F98" s="34"/>
      <c r="G98" s="21" t="s">
        <v>57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Alemanha</v>
      </c>
      <c r="AW98" s="28">
        <f>VLOOKUP($AU98,Dummy!$A:$R,3,FALSE)</f>
        <v>14</v>
      </c>
      <c r="AX98" s="28">
        <f>VLOOKUP($AU98,Dummy!$A:$R,4,FALSE)</f>
        <v>8</v>
      </c>
      <c r="AY98" s="28">
        <f>VLOOKUP($AU98,Dummy!$A:$R,5,FALSE)</f>
        <v>4</v>
      </c>
      <c r="AZ98" s="28">
        <f>VLOOKUP($AU98,Dummy!$A:$R,6,FALSE)</f>
        <v>4</v>
      </c>
      <c r="BA98" s="28">
        <f>VLOOKUP($AU98,Dummy!$A:$R,7,FALSE)</f>
        <v>1</v>
      </c>
      <c r="BB98" s="28">
        <f>VLOOKUP($AU98,Dummy!$A:$R,8,FALSE)</f>
        <v>2</v>
      </c>
      <c r="BC98" s="28">
        <f>VLOOKUP($AU98,Dummy!$A:$R,9,FALSE)</f>
        <v>1</v>
      </c>
      <c r="BD98" s="28">
        <f>VLOOKUP($AU98,Dummy!$A:$R,10,FALSE)</f>
        <v>3</v>
      </c>
      <c r="BE98" s="28">
        <f>VLOOKUP($AU98,Dummy!$A:$R,11,FALSE)</f>
        <v>0</v>
      </c>
      <c r="BF98" s="28">
        <f>VLOOKUP($AU98,Dummy!$A:$R,12,FALSE)</f>
        <v>1</v>
      </c>
      <c r="BG98" s="28">
        <f>VLOOKUP($AU98,Dummy!$A:$R,13,FALSE)</f>
        <v>18</v>
      </c>
      <c r="BH98" s="28">
        <f>VLOOKUP($AU98,Dummy!$A:$R,14,FALSE)</f>
        <v>16</v>
      </c>
      <c r="BI98" s="29">
        <f>VLOOKUP($AU98,Dummy!$A:$R,15,FALSE)</f>
        <v>1125</v>
      </c>
      <c r="BJ98" s="28">
        <f>VLOOKUP($AU98,Dummy!$A:$R,16,FALSE)</f>
        <v>721</v>
      </c>
      <c r="BK98" s="28">
        <f>VLOOKUP($AU98,Dummy!$A:$R,17,FALSE)</f>
        <v>738</v>
      </c>
      <c r="BL98" s="29">
        <f>VLOOKUP($AU98,Dummy!$A:$R,18,FALSE)</f>
        <v>976.96476964769647</v>
      </c>
    </row>
    <row r="99" spans="2:64" x14ac:dyDescent="0.25">
      <c r="B99" s="17">
        <v>45849</v>
      </c>
      <c r="C99" s="25" t="s">
        <v>59</v>
      </c>
      <c r="D99" s="33"/>
      <c r="E99" s="11" t="s">
        <v>6</v>
      </c>
      <c r="F99" s="34"/>
      <c r="G99" s="21" t="s">
        <v>30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Estados Unidos</v>
      </c>
      <c r="AW99" s="28">
        <f>VLOOKUP($AU99,Dummy!$A:$R,3,FALSE)</f>
        <v>11</v>
      </c>
      <c r="AX99" s="28">
        <f>VLOOKUP($AU99,Dummy!$A:$R,4,FALSE)</f>
        <v>8</v>
      </c>
      <c r="AY99" s="28">
        <f>VLOOKUP($AU99,Dummy!$A:$R,5,FALSE)</f>
        <v>4</v>
      </c>
      <c r="AZ99" s="28">
        <f>VLOOKUP($AU99,Dummy!$A:$R,6,FALSE)</f>
        <v>4</v>
      </c>
      <c r="BA99" s="28">
        <f>VLOOKUP($AU99,Dummy!$A:$R,7,FALSE)</f>
        <v>2</v>
      </c>
      <c r="BB99" s="28">
        <f>VLOOKUP($AU99,Dummy!$A:$R,8,FALSE)</f>
        <v>0</v>
      </c>
      <c r="BC99" s="28">
        <f>VLOOKUP($AU99,Dummy!$A:$R,9,FALSE)</f>
        <v>2</v>
      </c>
      <c r="BD99" s="28">
        <f>VLOOKUP($AU99,Dummy!$A:$R,10,FALSE)</f>
        <v>1</v>
      </c>
      <c r="BE99" s="28">
        <f>VLOOKUP($AU99,Dummy!$A:$R,11,FALSE)</f>
        <v>1</v>
      </c>
      <c r="BF99" s="28">
        <f>VLOOKUP($AU99,Dummy!$A:$R,12,FALSE)</f>
        <v>2</v>
      </c>
      <c r="BG99" s="28">
        <f>VLOOKUP($AU99,Dummy!$A:$R,13,FALSE)</f>
        <v>15</v>
      </c>
      <c r="BH99" s="28">
        <f>VLOOKUP($AU99,Dummy!$A:$R,14,FALSE)</f>
        <v>16</v>
      </c>
      <c r="BI99" s="29">
        <f>VLOOKUP($AU99,Dummy!$A:$R,15,FALSE)</f>
        <v>937.5</v>
      </c>
      <c r="BJ99" s="28">
        <f>VLOOKUP($AU99,Dummy!$A:$R,16,FALSE)</f>
        <v>669</v>
      </c>
      <c r="BK99" s="28">
        <f>VLOOKUP($AU99,Dummy!$A:$R,17,FALSE)</f>
        <v>697</v>
      </c>
      <c r="BL99" s="29">
        <f>VLOOKUP($AU99,Dummy!$A:$R,18,FALSE)</f>
        <v>959.82783357245341</v>
      </c>
    </row>
    <row r="100" spans="2:64" x14ac:dyDescent="0.25">
      <c r="B100" s="17">
        <v>45850</v>
      </c>
      <c r="C100" s="25" t="s">
        <v>59</v>
      </c>
      <c r="D100" s="33"/>
      <c r="E100" s="11" t="s">
        <v>6</v>
      </c>
      <c r="F100" s="34"/>
      <c r="G100" s="21" t="s">
        <v>75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República Dominicana</v>
      </c>
      <c r="AW100" s="28">
        <f>VLOOKUP($AU100,Dummy!$A:$R,3,FALSE)</f>
        <v>9</v>
      </c>
      <c r="AX100" s="28">
        <f>VLOOKUP($AU100,Dummy!$A:$R,4,FALSE)</f>
        <v>8</v>
      </c>
      <c r="AY100" s="28">
        <f>VLOOKUP($AU100,Dummy!$A:$R,5,FALSE)</f>
        <v>4</v>
      </c>
      <c r="AZ100" s="28">
        <f>VLOOKUP($AU100,Dummy!$A:$R,6,FALSE)</f>
        <v>4</v>
      </c>
      <c r="BA100" s="28">
        <f>VLOOKUP($AU100,Dummy!$A:$R,7,FALSE)</f>
        <v>1</v>
      </c>
      <c r="BB100" s="28">
        <f>VLOOKUP($AU100,Dummy!$A:$R,8,FALSE)</f>
        <v>0</v>
      </c>
      <c r="BC100" s="28">
        <f>VLOOKUP($AU100,Dummy!$A:$R,9,FALSE)</f>
        <v>3</v>
      </c>
      <c r="BD100" s="28">
        <f>VLOOKUP($AU100,Dummy!$A:$R,10,FALSE)</f>
        <v>0</v>
      </c>
      <c r="BE100" s="28">
        <f>VLOOKUP($AU100,Dummy!$A:$R,11,FALSE)</f>
        <v>1</v>
      </c>
      <c r="BF100" s="28">
        <f>VLOOKUP($AU100,Dummy!$A:$R,12,FALSE)</f>
        <v>3</v>
      </c>
      <c r="BG100" s="28">
        <f>VLOOKUP($AU100,Dummy!$A:$R,13,FALSE)</f>
        <v>13</v>
      </c>
      <c r="BH100" s="28">
        <f>VLOOKUP($AU100,Dummy!$A:$R,14,FALSE)</f>
        <v>18</v>
      </c>
      <c r="BI100" s="29">
        <f>VLOOKUP($AU100,Dummy!$A:$R,15,FALSE)</f>
        <v>722.22222222222217</v>
      </c>
      <c r="BJ100" s="28">
        <f>VLOOKUP($AU100,Dummy!$A:$R,16,FALSE)</f>
        <v>698</v>
      </c>
      <c r="BK100" s="28">
        <f>VLOOKUP($AU100,Dummy!$A:$R,17,FALSE)</f>
        <v>726</v>
      </c>
      <c r="BL100" s="29">
        <f>VLOOKUP($AU100,Dummy!$A:$R,18,FALSE)</f>
        <v>961.43250688705234</v>
      </c>
    </row>
    <row r="101" spans="2:64" x14ac:dyDescent="0.25">
      <c r="B101" s="17">
        <v>45850</v>
      </c>
      <c r="C101" s="25" t="s">
        <v>30</v>
      </c>
      <c r="D101" s="33"/>
      <c r="E101" s="11" t="s">
        <v>6</v>
      </c>
      <c r="F101" s="34"/>
      <c r="G101" s="21" t="s">
        <v>39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França</v>
      </c>
      <c r="AW101" s="28">
        <f>VLOOKUP($AU101,Dummy!$A:$R,3,FALSE)</f>
        <v>10</v>
      </c>
      <c r="AX101" s="28">
        <f>VLOOKUP($AU101,Dummy!$A:$R,4,FALSE)</f>
        <v>8</v>
      </c>
      <c r="AY101" s="28">
        <f>VLOOKUP($AU101,Dummy!$A:$R,5,FALSE)</f>
        <v>3</v>
      </c>
      <c r="AZ101" s="28">
        <f>VLOOKUP($AU101,Dummy!$A:$R,6,FALSE)</f>
        <v>5</v>
      </c>
      <c r="BA101" s="28">
        <f>VLOOKUP($AU101,Dummy!$A:$R,7,FALSE)</f>
        <v>1</v>
      </c>
      <c r="BB101" s="28">
        <f>VLOOKUP($AU101,Dummy!$A:$R,8,FALSE)</f>
        <v>1</v>
      </c>
      <c r="BC101" s="28">
        <f>VLOOKUP($AU101,Dummy!$A:$R,9,FALSE)</f>
        <v>1</v>
      </c>
      <c r="BD101" s="28">
        <f>VLOOKUP($AU101,Dummy!$A:$R,10,FALSE)</f>
        <v>2</v>
      </c>
      <c r="BE101" s="28">
        <f>VLOOKUP($AU101,Dummy!$A:$R,11,FALSE)</f>
        <v>2</v>
      </c>
      <c r="BF101" s="28">
        <f>VLOOKUP($AU101,Dummy!$A:$R,12,FALSE)</f>
        <v>1</v>
      </c>
      <c r="BG101" s="28">
        <f>VLOOKUP($AU101,Dummy!$A:$R,13,FALSE)</f>
        <v>15</v>
      </c>
      <c r="BH101" s="28">
        <f>VLOOKUP($AU101,Dummy!$A:$R,14,FALSE)</f>
        <v>18</v>
      </c>
      <c r="BI101" s="29">
        <f>VLOOKUP($AU101,Dummy!$A:$R,15,FALSE)</f>
        <v>833.33333333333337</v>
      </c>
      <c r="BJ101" s="28">
        <f>VLOOKUP($AU101,Dummy!$A:$R,16,FALSE)</f>
        <v>678</v>
      </c>
      <c r="BK101" s="28">
        <f>VLOOKUP($AU101,Dummy!$A:$R,17,FALSE)</f>
        <v>719</v>
      </c>
      <c r="BL101" s="29">
        <f>VLOOKUP($AU101,Dummy!$A:$R,18,FALSE)</f>
        <v>942.97635605006963</v>
      </c>
    </row>
    <row r="102" spans="2:64" x14ac:dyDescent="0.25">
      <c r="B102" s="17">
        <v>45851</v>
      </c>
      <c r="C102" s="25" t="s">
        <v>59</v>
      </c>
      <c r="D102" s="33"/>
      <c r="E102" s="11" t="s">
        <v>6</v>
      </c>
      <c r="F102" s="34"/>
      <c r="G102" s="21" t="s">
        <v>48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Holanda</v>
      </c>
      <c r="AW102" s="28">
        <f>VLOOKUP($AU102,Dummy!$A:$R,3,FALSE)</f>
        <v>10</v>
      </c>
      <c r="AX102" s="28">
        <f>VLOOKUP($AU102,Dummy!$A:$R,4,FALSE)</f>
        <v>8</v>
      </c>
      <c r="AY102" s="28">
        <f>VLOOKUP($AU102,Dummy!$A:$R,5,FALSE)</f>
        <v>3</v>
      </c>
      <c r="AZ102" s="28">
        <f>VLOOKUP($AU102,Dummy!$A:$R,6,FALSE)</f>
        <v>5</v>
      </c>
      <c r="BA102" s="28">
        <f>VLOOKUP($AU102,Dummy!$A:$R,7,FALSE)</f>
        <v>1</v>
      </c>
      <c r="BB102" s="28">
        <f>VLOOKUP($AU102,Dummy!$A:$R,8,FALSE)</f>
        <v>1</v>
      </c>
      <c r="BC102" s="28">
        <f>VLOOKUP($AU102,Dummy!$A:$R,9,FALSE)</f>
        <v>1</v>
      </c>
      <c r="BD102" s="28">
        <f>VLOOKUP($AU102,Dummy!$A:$R,10,FALSE)</f>
        <v>2</v>
      </c>
      <c r="BE102" s="28">
        <f>VLOOKUP($AU102,Dummy!$A:$R,11,FALSE)</f>
        <v>0</v>
      </c>
      <c r="BF102" s="28">
        <f>VLOOKUP($AU102,Dummy!$A:$R,12,FALSE)</f>
        <v>3</v>
      </c>
      <c r="BG102" s="28">
        <f>VLOOKUP($AU102,Dummy!$A:$R,13,FALSE)</f>
        <v>13</v>
      </c>
      <c r="BH102" s="28">
        <f>VLOOKUP($AU102,Dummy!$A:$R,14,FALSE)</f>
        <v>18</v>
      </c>
      <c r="BI102" s="29">
        <f>VLOOKUP($AU102,Dummy!$A:$R,15,FALSE)</f>
        <v>722.22222222222217</v>
      </c>
      <c r="BJ102" s="28">
        <f>VLOOKUP($AU102,Dummy!$A:$R,16,FALSE)</f>
        <v>650</v>
      </c>
      <c r="BK102" s="28">
        <f>VLOOKUP($AU102,Dummy!$A:$R,17,FALSE)</f>
        <v>681</v>
      </c>
      <c r="BL102" s="29">
        <f>VLOOKUP($AU102,Dummy!$A:$R,18,FALSE)</f>
        <v>954.47870778267247</v>
      </c>
    </row>
    <row r="103" spans="2:64" x14ac:dyDescent="0.25">
      <c r="B103" s="17">
        <v>45851</v>
      </c>
      <c r="C103" s="25" t="s">
        <v>75</v>
      </c>
      <c r="D103" s="33"/>
      <c r="E103" s="11" t="s">
        <v>6</v>
      </c>
      <c r="F103" s="34"/>
      <c r="G103" s="21" t="s">
        <v>39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Bulgária</v>
      </c>
      <c r="AW103" s="28">
        <f>VLOOKUP($AU103,Dummy!$A:$R,3,FALSE)</f>
        <v>9</v>
      </c>
      <c r="AX103" s="28">
        <f>VLOOKUP($AU103,Dummy!$A:$R,4,FALSE)</f>
        <v>8</v>
      </c>
      <c r="AY103" s="28">
        <f>VLOOKUP($AU103,Dummy!$A:$R,5,FALSE)</f>
        <v>3</v>
      </c>
      <c r="AZ103" s="28">
        <f>VLOOKUP($AU103,Dummy!$A:$R,6,FALSE)</f>
        <v>5</v>
      </c>
      <c r="BA103" s="28">
        <f>VLOOKUP($AU103,Dummy!$A:$R,7,FALSE)</f>
        <v>0</v>
      </c>
      <c r="BB103" s="28">
        <f>VLOOKUP($AU103,Dummy!$A:$R,8,FALSE)</f>
        <v>1</v>
      </c>
      <c r="BC103" s="28">
        <f>VLOOKUP($AU103,Dummy!$A:$R,9,FALSE)</f>
        <v>2</v>
      </c>
      <c r="BD103" s="28">
        <f>VLOOKUP($AU103,Dummy!$A:$R,10,FALSE)</f>
        <v>2</v>
      </c>
      <c r="BE103" s="28">
        <f>VLOOKUP($AU103,Dummy!$A:$R,11,FALSE)</f>
        <v>1</v>
      </c>
      <c r="BF103" s="28">
        <f>VLOOKUP($AU103,Dummy!$A:$R,12,FALSE)</f>
        <v>2</v>
      </c>
      <c r="BG103" s="28">
        <f>VLOOKUP($AU103,Dummy!$A:$R,13,FALSE)</f>
        <v>14</v>
      </c>
      <c r="BH103" s="28">
        <f>VLOOKUP($AU103,Dummy!$A:$R,14,FALSE)</f>
        <v>20</v>
      </c>
      <c r="BI103" s="29">
        <f>VLOOKUP($AU103,Dummy!$A:$R,15,FALSE)</f>
        <v>700</v>
      </c>
      <c r="BJ103" s="28">
        <f>VLOOKUP($AU103,Dummy!$A:$R,16,FALSE)</f>
        <v>693</v>
      </c>
      <c r="BK103" s="28">
        <f>VLOOKUP($AU103,Dummy!$A:$R,17,FALSE)</f>
        <v>775</v>
      </c>
      <c r="BL103" s="29">
        <f>VLOOKUP($AU103,Dummy!$A:$R,18,FALSE)</f>
        <v>894.19354838709671</v>
      </c>
    </row>
    <row r="104" spans="2:64" x14ac:dyDescent="0.25">
      <c r="B104" s="17">
        <v>45851</v>
      </c>
      <c r="C104" s="25" t="s">
        <v>57</v>
      </c>
      <c r="D104" s="33"/>
      <c r="E104" s="11" t="s">
        <v>6</v>
      </c>
      <c r="F104" s="34"/>
      <c r="G104" s="21" t="s">
        <v>30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Bélgica</v>
      </c>
      <c r="AW104" s="28">
        <f>VLOOKUP($AU104,Dummy!$A:$R,3,FALSE)</f>
        <v>8</v>
      </c>
      <c r="AX104" s="28">
        <f>VLOOKUP($AU104,Dummy!$A:$R,4,FALSE)</f>
        <v>8</v>
      </c>
      <c r="AY104" s="28">
        <f>VLOOKUP($AU104,Dummy!$A:$R,5,FALSE)</f>
        <v>3</v>
      </c>
      <c r="AZ104" s="28">
        <f>VLOOKUP($AU104,Dummy!$A:$R,6,FALSE)</f>
        <v>5</v>
      </c>
      <c r="BA104" s="28">
        <f>VLOOKUP($AU104,Dummy!$A:$R,7,FALSE)</f>
        <v>0</v>
      </c>
      <c r="BB104" s="28">
        <f>VLOOKUP($AU104,Dummy!$A:$R,8,FALSE)</f>
        <v>2</v>
      </c>
      <c r="BC104" s="28">
        <f>VLOOKUP($AU104,Dummy!$A:$R,9,FALSE)</f>
        <v>1</v>
      </c>
      <c r="BD104" s="28">
        <f>VLOOKUP($AU104,Dummy!$A:$R,10,FALSE)</f>
        <v>0</v>
      </c>
      <c r="BE104" s="28">
        <f>VLOOKUP($AU104,Dummy!$A:$R,11,FALSE)</f>
        <v>2</v>
      </c>
      <c r="BF104" s="28">
        <f>VLOOKUP($AU104,Dummy!$A:$R,12,FALSE)</f>
        <v>3</v>
      </c>
      <c r="BG104" s="28">
        <f>VLOOKUP($AU104,Dummy!$A:$R,13,FALSE)</f>
        <v>11</v>
      </c>
      <c r="BH104" s="28">
        <f>VLOOKUP($AU104,Dummy!$A:$R,14,FALSE)</f>
        <v>19</v>
      </c>
      <c r="BI104" s="29">
        <f>VLOOKUP($AU104,Dummy!$A:$R,15,FALSE)</f>
        <v>578.9473684210526</v>
      </c>
      <c r="BJ104" s="28">
        <f>VLOOKUP($AU104,Dummy!$A:$R,16,FALSE)</f>
        <v>633</v>
      </c>
      <c r="BK104" s="28">
        <f>VLOOKUP($AU104,Dummy!$A:$R,17,FALSE)</f>
        <v>694</v>
      </c>
      <c r="BL104" s="29">
        <f>VLOOKUP($AU104,Dummy!$A:$R,18,FALSE)</f>
        <v>912.10374639769452</v>
      </c>
    </row>
    <row r="105" spans="2:64" ht="14.25" x14ac:dyDescent="0.25">
      <c r="B105" s="66" t="s">
        <v>73</v>
      </c>
      <c r="C105" s="66"/>
      <c r="D105" s="66"/>
      <c r="E105" s="69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AU105" s="31">
        <v>14</v>
      </c>
      <c r="AV105" s="30" t="str">
        <f>VLOOKUP($AU105,Dummy!$A:$R,2,FALSE)</f>
        <v>Canadá</v>
      </c>
      <c r="AW105" s="28">
        <f>VLOOKUP($AU105,Dummy!$A:$R,3,FALSE)</f>
        <v>6</v>
      </c>
      <c r="AX105" s="28">
        <f>VLOOKUP($AU105,Dummy!$A:$R,4,FALSE)</f>
        <v>8</v>
      </c>
      <c r="AY105" s="28">
        <f>VLOOKUP($AU105,Dummy!$A:$R,5,FALSE)</f>
        <v>2</v>
      </c>
      <c r="AZ105" s="28">
        <f>VLOOKUP($AU105,Dummy!$A:$R,6,FALSE)</f>
        <v>6</v>
      </c>
      <c r="BA105" s="28">
        <f>VLOOKUP($AU105,Dummy!$A:$R,7,FALSE)</f>
        <v>0</v>
      </c>
      <c r="BB105" s="28">
        <f>VLOOKUP($AU105,Dummy!$A:$R,8,FALSE)</f>
        <v>0</v>
      </c>
      <c r="BC105" s="28">
        <f>VLOOKUP($AU105,Dummy!$A:$R,9,FALSE)</f>
        <v>2</v>
      </c>
      <c r="BD105" s="28">
        <f>VLOOKUP($AU105,Dummy!$A:$R,10,FALSE)</f>
        <v>2</v>
      </c>
      <c r="BE105" s="28">
        <f>VLOOKUP($AU105,Dummy!$A:$R,11,FALSE)</f>
        <v>1</v>
      </c>
      <c r="BF105" s="28">
        <f>VLOOKUP($AU105,Dummy!$A:$R,12,FALSE)</f>
        <v>3</v>
      </c>
      <c r="BG105" s="28">
        <f>VLOOKUP($AU105,Dummy!$A:$R,13,FALSE)</f>
        <v>11</v>
      </c>
      <c r="BH105" s="28">
        <f>VLOOKUP($AU105,Dummy!$A:$R,14,FALSE)</f>
        <v>22</v>
      </c>
      <c r="BI105" s="29">
        <f>VLOOKUP($AU105,Dummy!$A:$R,15,FALSE)</f>
        <v>500</v>
      </c>
      <c r="BJ105" s="28">
        <f>VLOOKUP($AU105,Dummy!$A:$R,16,FALSE)</f>
        <v>685</v>
      </c>
      <c r="BK105" s="28">
        <f>VLOOKUP($AU105,Dummy!$A:$R,17,FALSE)</f>
        <v>721</v>
      </c>
      <c r="BL105" s="29">
        <f>VLOOKUP($AU105,Dummy!$A:$R,18,FALSE)</f>
        <v>950.06934812760062</v>
      </c>
    </row>
    <row r="106" spans="2:64" x14ac:dyDescent="0.25">
      <c r="B106" s="16" t="s">
        <v>2</v>
      </c>
      <c r="C106" s="24"/>
      <c r="D106" s="68" t="s">
        <v>3</v>
      </c>
      <c r="E106" s="68"/>
      <c r="F106" s="68"/>
      <c r="G106" s="20"/>
      <c r="H106" s="68" t="s">
        <v>4</v>
      </c>
      <c r="I106" s="68"/>
      <c r="J106" s="68"/>
      <c r="K106" s="68" t="s">
        <v>5</v>
      </c>
      <c r="L106" s="68"/>
      <c r="M106" s="68"/>
      <c r="N106" s="68" t="s">
        <v>7</v>
      </c>
      <c r="O106" s="68"/>
      <c r="P106" s="68"/>
      <c r="Q106" s="68" t="s">
        <v>8</v>
      </c>
      <c r="R106" s="68"/>
      <c r="S106" s="68"/>
      <c r="T106" s="68" t="s">
        <v>9</v>
      </c>
      <c r="U106" s="68"/>
      <c r="V106" s="68"/>
      <c r="W106" s="68" t="s">
        <v>10</v>
      </c>
      <c r="X106" s="68"/>
      <c r="Y106" s="68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República Tcheca</v>
      </c>
      <c r="AW106" s="28">
        <f>VLOOKUP($AU106,Dummy!$A:$R,3,FALSE)</f>
        <v>4</v>
      </c>
      <c r="AX106" s="28">
        <f>VLOOKUP($AU106,Dummy!$A:$R,4,FALSE)</f>
        <v>4</v>
      </c>
      <c r="AY106" s="28">
        <f>VLOOKUP($AU106,Dummy!$A:$R,5,FALSE)</f>
        <v>2</v>
      </c>
      <c r="AZ106" s="28">
        <f>VLOOKUP($AU106,Dummy!$A:$R,6,FALSE)</f>
        <v>2</v>
      </c>
      <c r="BA106" s="28">
        <f>VLOOKUP($AU106,Dummy!$A:$R,7,FALSE)</f>
        <v>0</v>
      </c>
      <c r="BB106" s="28">
        <f>VLOOKUP($AU106,Dummy!$A:$R,8,FALSE)</f>
        <v>0</v>
      </c>
      <c r="BC106" s="28">
        <f>VLOOKUP($AU106,Dummy!$A:$R,9,FALSE)</f>
        <v>2</v>
      </c>
      <c r="BD106" s="28">
        <f>VLOOKUP($AU106,Dummy!$A:$R,10,FALSE)</f>
        <v>0</v>
      </c>
      <c r="BE106" s="28">
        <f>VLOOKUP($AU106,Dummy!$A:$R,11,FALSE)</f>
        <v>1</v>
      </c>
      <c r="BF106" s="28">
        <f>VLOOKUP($AU106,Dummy!$A:$R,12,FALSE)</f>
        <v>1</v>
      </c>
      <c r="BG106" s="28">
        <f>VLOOKUP($AU106,Dummy!$A:$R,13,FALSE)</f>
        <v>7</v>
      </c>
      <c r="BH106" s="28">
        <f>VLOOKUP($AU106,Dummy!$A:$R,14,FALSE)</f>
        <v>10</v>
      </c>
      <c r="BI106" s="29">
        <f>VLOOKUP($AU106,Dummy!$A:$R,15,FALSE)</f>
        <v>700</v>
      </c>
      <c r="BJ106" s="28">
        <f>VLOOKUP($AU106,Dummy!$A:$R,16,FALSE)</f>
        <v>369</v>
      </c>
      <c r="BK106" s="28">
        <f>VLOOKUP($AU106,Dummy!$A:$R,17,FALSE)</f>
        <v>369</v>
      </c>
      <c r="BL106" s="29">
        <f>VLOOKUP($AU106,Dummy!$A:$R,18,FALSE)</f>
        <v>1000</v>
      </c>
    </row>
    <row r="107" spans="2:64" x14ac:dyDescent="0.25">
      <c r="B107" s="18">
        <v>45847</v>
      </c>
      <c r="C107" s="26" t="s">
        <v>42</v>
      </c>
      <c r="D107" s="33"/>
      <c r="E107" s="11" t="s">
        <v>6</v>
      </c>
      <c r="F107" s="34"/>
      <c r="G107" s="22" t="s">
        <v>51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Tailândia</v>
      </c>
      <c r="AW107" s="28">
        <f>VLOOKUP($AU107,Dummy!$A:$R,3,FALSE)</f>
        <v>5</v>
      </c>
      <c r="AX107" s="28">
        <f>VLOOKUP($AU107,Dummy!$A:$R,4,FALSE)</f>
        <v>8</v>
      </c>
      <c r="AY107" s="28">
        <f>VLOOKUP($AU107,Dummy!$A:$R,5,FALSE)</f>
        <v>1</v>
      </c>
      <c r="AZ107" s="28">
        <f>VLOOKUP($AU107,Dummy!$A:$R,6,FALSE)</f>
        <v>7</v>
      </c>
      <c r="BA107" s="28">
        <f>VLOOKUP($AU107,Dummy!$A:$R,7,FALSE)</f>
        <v>0</v>
      </c>
      <c r="BB107" s="28">
        <f>VLOOKUP($AU107,Dummy!$A:$R,8,FALSE)</f>
        <v>1</v>
      </c>
      <c r="BC107" s="28">
        <f>VLOOKUP($AU107,Dummy!$A:$R,9,FALSE)</f>
        <v>0</v>
      </c>
      <c r="BD107" s="28">
        <f>VLOOKUP($AU107,Dummy!$A:$R,10,FALSE)</f>
        <v>2</v>
      </c>
      <c r="BE107" s="28">
        <f>VLOOKUP($AU107,Dummy!$A:$R,11,FALSE)</f>
        <v>1</v>
      </c>
      <c r="BF107" s="28">
        <f>VLOOKUP($AU107,Dummy!$A:$R,12,FALSE)</f>
        <v>4</v>
      </c>
      <c r="BG107" s="28">
        <f>VLOOKUP($AU107,Dummy!$A:$R,13,FALSE)</f>
        <v>8</v>
      </c>
      <c r="BH107" s="28">
        <f>VLOOKUP($AU107,Dummy!$A:$R,14,FALSE)</f>
        <v>22</v>
      </c>
      <c r="BI107" s="29">
        <f>VLOOKUP($AU107,Dummy!$A:$R,15,FALSE)</f>
        <v>363.63636363636363</v>
      </c>
      <c r="BJ107" s="28">
        <f>VLOOKUP($AU107,Dummy!$A:$R,16,FALSE)</f>
        <v>627</v>
      </c>
      <c r="BK107" s="28">
        <f>VLOOKUP($AU107,Dummy!$A:$R,17,FALSE)</f>
        <v>697</v>
      </c>
      <c r="BL107" s="29">
        <f>VLOOKUP($AU107,Dummy!$A:$R,18,FALSE)</f>
        <v>899.56958393113337</v>
      </c>
    </row>
    <row r="108" spans="2:64" x14ac:dyDescent="0.25">
      <c r="B108" s="18">
        <v>45847</v>
      </c>
      <c r="C108" s="26" t="s">
        <v>56</v>
      </c>
      <c r="D108" s="38"/>
      <c r="E108" s="11" t="s">
        <v>6</v>
      </c>
      <c r="F108" s="37"/>
      <c r="G108" s="22" t="s">
        <v>53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Coreia do Sul</v>
      </c>
      <c r="AW108" s="28">
        <f>VLOOKUP($AU108,Dummy!$A:$R,3,FALSE)</f>
        <v>4</v>
      </c>
      <c r="AX108" s="28">
        <f>VLOOKUP($AU108,Dummy!$A:$R,4,FALSE)</f>
        <v>8</v>
      </c>
      <c r="AY108" s="28">
        <f>VLOOKUP($AU108,Dummy!$A:$R,5,FALSE)</f>
        <v>1</v>
      </c>
      <c r="AZ108" s="28">
        <f>VLOOKUP($AU108,Dummy!$A:$R,6,FALSE)</f>
        <v>7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1</v>
      </c>
      <c r="BD108" s="28">
        <f>VLOOKUP($AU108,Dummy!$A:$R,10,FALSE)</f>
        <v>2</v>
      </c>
      <c r="BE108" s="28">
        <f>VLOOKUP($AU108,Dummy!$A:$R,11,FALSE)</f>
        <v>1</v>
      </c>
      <c r="BF108" s="28">
        <f>VLOOKUP($AU108,Dummy!$A:$R,12,FALSE)</f>
        <v>4</v>
      </c>
      <c r="BG108" s="28">
        <f>VLOOKUP($AU108,Dummy!$A:$R,13,FALSE)</f>
        <v>8</v>
      </c>
      <c r="BH108" s="28">
        <f>VLOOKUP($AU108,Dummy!$A:$R,14,FALSE)</f>
        <v>23</v>
      </c>
      <c r="BI108" s="29">
        <f>VLOOKUP($AU108,Dummy!$A:$R,15,FALSE)</f>
        <v>347.82608695652175</v>
      </c>
      <c r="BJ108" s="28">
        <f>VLOOKUP($AU108,Dummy!$A:$R,16,FALSE)</f>
        <v>563</v>
      </c>
      <c r="BK108" s="28">
        <f>VLOOKUP($AU108,Dummy!$A:$R,17,FALSE)</f>
        <v>717</v>
      </c>
      <c r="BL108" s="29">
        <f>VLOOKUP($AU108,Dummy!$A:$R,18,FALSE)</f>
        <v>785.21617852161785</v>
      </c>
    </row>
    <row r="109" spans="2:64" x14ac:dyDescent="0.25">
      <c r="B109" s="18">
        <v>45847</v>
      </c>
      <c r="C109" s="26" t="s">
        <v>58</v>
      </c>
      <c r="D109" s="33"/>
      <c r="E109" s="11" t="s">
        <v>6</v>
      </c>
      <c r="F109" s="34"/>
      <c r="G109" s="22" t="s">
        <v>55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Sérvia</v>
      </c>
      <c r="AW109" s="28">
        <f>VLOOKUP($AU109,Dummy!$A:$R,3,FALSE)</f>
        <v>5</v>
      </c>
      <c r="AX109" s="28">
        <f>VLOOKUP($AU109,Dummy!$A:$R,4,FALSE)</f>
        <v>8</v>
      </c>
      <c r="AY109" s="28">
        <f>VLOOKUP($AU109,Dummy!$A:$R,5,FALSE)</f>
        <v>0</v>
      </c>
      <c r="AZ109" s="28">
        <f>VLOOKUP($AU109,Dummy!$A:$R,6,FALSE)</f>
        <v>8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5</v>
      </c>
      <c r="BE109" s="28">
        <f>VLOOKUP($AU109,Dummy!$A:$R,11,FALSE)</f>
        <v>2</v>
      </c>
      <c r="BF109" s="28">
        <f>VLOOKUP($AU109,Dummy!$A:$R,12,FALSE)</f>
        <v>1</v>
      </c>
      <c r="BG109" s="28">
        <f>VLOOKUP($AU109,Dummy!$A:$R,13,FALSE)</f>
        <v>12</v>
      </c>
      <c r="BH109" s="28">
        <f>VLOOKUP($AU109,Dummy!$A:$R,14,FALSE)</f>
        <v>24</v>
      </c>
      <c r="BI109" s="29">
        <f>VLOOKUP($AU109,Dummy!$A:$R,15,FALSE)</f>
        <v>500</v>
      </c>
      <c r="BJ109" s="28">
        <f>VLOOKUP($AU109,Dummy!$A:$R,16,FALSE)</f>
        <v>731</v>
      </c>
      <c r="BK109" s="28">
        <f>VLOOKUP($AU109,Dummy!$A:$R,17,FALSE)</f>
        <v>786</v>
      </c>
      <c r="BL109" s="29">
        <f>VLOOKUP($AU109,Dummy!$A:$R,18,FALSE)</f>
        <v>930.02544529262093</v>
      </c>
    </row>
    <row r="110" spans="2:64" x14ac:dyDescent="0.25">
      <c r="B110" s="18">
        <v>45848</v>
      </c>
      <c r="C110" s="26" t="s">
        <v>58</v>
      </c>
      <c r="D110" s="33"/>
      <c r="E110" s="11" t="s">
        <v>6</v>
      </c>
      <c r="F110" s="34"/>
      <c r="G110" s="22" t="s">
        <v>42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140</v>
      </c>
    </row>
    <row r="111" spans="2:64" x14ac:dyDescent="0.25">
      <c r="B111" s="18">
        <v>45848</v>
      </c>
      <c r="C111" s="26" t="s">
        <v>56</v>
      </c>
      <c r="D111" s="33"/>
      <c r="E111" s="11" t="s">
        <v>6</v>
      </c>
      <c r="F111" s="34"/>
      <c r="G111" s="22" t="s">
        <v>55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59" t="s">
        <v>90</v>
      </c>
      <c r="AV111" s="59"/>
    </row>
    <row r="112" spans="2:64" x14ac:dyDescent="0.25">
      <c r="B112" s="18">
        <v>45849</v>
      </c>
      <c r="C112" s="26" t="s">
        <v>58</v>
      </c>
      <c r="D112" s="33"/>
      <c r="E112" s="11" t="s">
        <v>6</v>
      </c>
      <c r="F112" s="34"/>
      <c r="G112" s="22" t="s">
        <v>56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91</v>
      </c>
    </row>
    <row r="113" spans="2:48" x14ac:dyDescent="0.25">
      <c r="B113" s="18">
        <v>45849</v>
      </c>
      <c r="C113" s="26" t="s">
        <v>51</v>
      </c>
      <c r="D113" s="33"/>
      <c r="E113" s="11" t="s">
        <v>6</v>
      </c>
      <c r="F113" s="34"/>
      <c r="G113" s="22" t="s">
        <v>53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92</v>
      </c>
    </row>
    <row r="114" spans="2:48" x14ac:dyDescent="0.25">
      <c r="B114" s="18">
        <v>45850</v>
      </c>
      <c r="C114" s="26" t="s">
        <v>42</v>
      </c>
      <c r="D114" s="33"/>
      <c r="E114" s="11" t="s">
        <v>6</v>
      </c>
      <c r="F114" s="34"/>
      <c r="G114" s="22" t="s">
        <v>53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  <c r="AU114" s="57"/>
      <c r="AV114" s="7" t="s">
        <v>93</v>
      </c>
    </row>
    <row r="115" spans="2:48" x14ac:dyDescent="0.25">
      <c r="B115" s="18">
        <v>45850</v>
      </c>
      <c r="C115" s="26" t="s">
        <v>51</v>
      </c>
      <c r="D115" s="33"/>
      <c r="E115" s="11" t="s">
        <v>6</v>
      </c>
      <c r="F115" s="34"/>
      <c r="G115" s="22" t="s">
        <v>55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45851</v>
      </c>
      <c r="C116" s="26" t="s">
        <v>42</v>
      </c>
      <c r="D116" s="33"/>
      <c r="E116" s="11" t="s">
        <v>6</v>
      </c>
      <c r="F116" s="34"/>
      <c r="G116" s="22" t="s">
        <v>56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45851</v>
      </c>
      <c r="C117" s="26" t="s">
        <v>58</v>
      </c>
      <c r="D117" s="33"/>
      <c r="E117" s="11" t="s">
        <v>6</v>
      </c>
      <c r="F117" s="34"/>
      <c r="G117" s="22" t="s">
        <v>51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45851</v>
      </c>
      <c r="C118" s="26" t="s">
        <v>53</v>
      </c>
      <c r="D118" s="33"/>
      <c r="E118" s="11" t="s">
        <v>6</v>
      </c>
      <c r="F118" s="34"/>
      <c r="G118" s="22" t="s">
        <v>55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66" t="s">
        <v>74</v>
      </c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</row>
    <row r="120" spans="2:48" x14ac:dyDescent="0.25">
      <c r="B120" s="16" t="s">
        <v>2</v>
      </c>
      <c r="C120" s="24"/>
      <c r="D120" s="67" t="s">
        <v>3</v>
      </c>
      <c r="E120" s="67"/>
      <c r="F120" s="67"/>
      <c r="G120" s="20"/>
      <c r="H120" s="68" t="s">
        <v>4</v>
      </c>
      <c r="I120" s="68"/>
      <c r="J120" s="68"/>
      <c r="K120" s="68" t="s">
        <v>5</v>
      </c>
      <c r="L120" s="68"/>
      <c r="M120" s="68"/>
      <c r="N120" s="68" t="s">
        <v>7</v>
      </c>
      <c r="O120" s="68"/>
      <c r="P120" s="68"/>
      <c r="Q120" s="68" t="s">
        <v>8</v>
      </c>
      <c r="R120" s="68"/>
      <c r="S120" s="68"/>
      <c r="T120" s="68" t="s">
        <v>9</v>
      </c>
      <c r="U120" s="68"/>
      <c r="V120" s="68"/>
      <c r="W120" s="68" t="s">
        <v>10</v>
      </c>
      <c r="X120" s="68"/>
      <c r="Y120" s="68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</row>
    <row r="121" spans="2:48" x14ac:dyDescent="0.25">
      <c r="B121" s="17">
        <v>45847</v>
      </c>
      <c r="C121" s="25" t="s">
        <v>50</v>
      </c>
      <c r="D121" s="33"/>
      <c r="E121" s="11" t="s">
        <v>6</v>
      </c>
      <c r="F121" s="34"/>
      <c r="G121" s="21" t="s">
        <v>49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</row>
    <row r="122" spans="2:48" x14ac:dyDescent="0.25">
      <c r="B122" s="17">
        <v>45847</v>
      </c>
      <c r="C122" s="25" t="s">
        <v>54</v>
      </c>
      <c r="D122" s="33"/>
      <c r="E122" s="11" t="s">
        <v>6</v>
      </c>
      <c r="F122" s="34"/>
      <c r="G122" s="21" t="s">
        <v>40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</row>
    <row r="123" spans="2:48" x14ac:dyDescent="0.25">
      <c r="B123" s="17">
        <v>45847</v>
      </c>
      <c r="C123" s="25" t="s">
        <v>41</v>
      </c>
      <c r="D123" s="33"/>
      <c r="E123" s="11" t="s">
        <v>6</v>
      </c>
      <c r="F123" s="34"/>
      <c r="G123" s="21" t="s">
        <v>29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</row>
    <row r="124" spans="2:48" x14ac:dyDescent="0.25">
      <c r="B124" s="17">
        <v>45848</v>
      </c>
      <c r="C124" s="25" t="s">
        <v>41</v>
      </c>
      <c r="D124" s="33"/>
      <c r="E124" s="11" t="s">
        <v>6</v>
      </c>
      <c r="F124" s="34"/>
      <c r="G124" s="21" t="s">
        <v>49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</row>
    <row r="125" spans="2:48" x14ac:dyDescent="0.25">
      <c r="B125" s="17">
        <v>45848</v>
      </c>
      <c r="C125" s="25" t="s">
        <v>54</v>
      </c>
      <c r="D125" s="33"/>
      <c r="E125" s="11" t="s">
        <v>6</v>
      </c>
      <c r="F125" s="34"/>
      <c r="G125" s="21" t="s">
        <v>29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45849</v>
      </c>
      <c r="C126" s="25" t="s">
        <v>50</v>
      </c>
      <c r="D126" s="33"/>
      <c r="E126" s="11" t="s">
        <v>6</v>
      </c>
      <c r="F126" s="34"/>
      <c r="G126" s="21" t="s">
        <v>41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45849</v>
      </c>
      <c r="C127" s="25" t="s">
        <v>40</v>
      </c>
      <c r="D127" s="33"/>
      <c r="E127" s="11" t="s">
        <v>6</v>
      </c>
      <c r="F127" s="34"/>
      <c r="G127" s="21" t="s">
        <v>49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45850</v>
      </c>
      <c r="C128" s="25" t="s">
        <v>54</v>
      </c>
      <c r="D128" s="33"/>
      <c r="E128" s="11" t="s">
        <v>6</v>
      </c>
      <c r="F128" s="34"/>
      <c r="G128" s="21" t="s">
        <v>50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45850</v>
      </c>
      <c r="C129" s="25" t="s">
        <v>29</v>
      </c>
      <c r="D129" s="33"/>
      <c r="E129" s="11" t="s">
        <v>6</v>
      </c>
      <c r="F129" s="34"/>
      <c r="G129" s="21" t="s">
        <v>40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45851</v>
      </c>
      <c r="C130" s="25" t="s">
        <v>54</v>
      </c>
      <c r="D130" s="33"/>
      <c r="E130" s="11" t="s">
        <v>6</v>
      </c>
      <c r="F130" s="34"/>
      <c r="G130" s="21" t="s">
        <v>41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45851</v>
      </c>
      <c r="C131" s="25" t="s">
        <v>50</v>
      </c>
      <c r="D131" s="33"/>
      <c r="E131" s="11" t="s">
        <v>6</v>
      </c>
      <c r="F131" s="34"/>
      <c r="G131" s="21" t="s">
        <v>40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45851</v>
      </c>
      <c r="C132" s="25" t="s">
        <v>29</v>
      </c>
      <c r="D132" s="33"/>
      <c r="E132" s="11" t="s">
        <v>6</v>
      </c>
      <c r="F132" s="34"/>
      <c r="G132" s="21" t="s">
        <v>49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password="CC01" sheet="1" objects="1" scenarios="1" selectLockedCells="1"/>
  <mergeCells count="93">
    <mergeCell ref="Q18:S18"/>
    <mergeCell ref="T18:V18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W48:Y48"/>
    <mergeCell ref="B61:Y61"/>
    <mergeCell ref="D62:F62"/>
    <mergeCell ref="H62:J62"/>
    <mergeCell ref="K62:M62"/>
    <mergeCell ref="N62:P62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111:AV111"/>
    <mergeCell ref="AU90:AW90"/>
    <mergeCell ref="AX90:AZ90"/>
    <mergeCell ref="BA90:BF90"/>
    <mergeCell ref="BG90:BI90"/>
  </mergeCells>
  <conditionalFormatting sqref="T5:V16">
    <cfRule type="expression" dxfId="97" priority="85">
      <formula>$AA5&lt;5</formula>
    </cfRule>
  </conditionalFormatting>
  <conditionalFormatting sqref="Q5:S16">
    <cfRule type="expression" dxfId="96" priority="84">
      <formula>$AA5&lt;4</formula>
    </cfRule>
  </conditionalFormatting>
  <conditionalFormatting sqref="N5:P16">
    <cfRule type="expression" dxfId="95" priority="83">
      <formula>$AA5&lt;3</formula>
    </cfRule>
  </conditionalFormatting>
  <conditionalFormatting sqref="K5:M16">
    <cfRule type="expression" dxfId="94" priority="82">
      <formula>$AA5&lt;2</formula>
    </cfRule>
  </conditionalFormatting>
  <conditionalFormatting sqref="H5:J16">
    <cfRule type="expression" dxfId="93" priority="81">
      <formula>$AA5=0</formula>
    </cfRule>
  </conditionalFormatting>
  <conditionalFormatting sqref="W5:Y16">
    <cfRule type="expression" dxfId="92" priority="80">
      <formula>$AA5=0</formula>
    </cfRule>
  </conditionalFormatting>
  <conditionalFormatting sqref="T33:V44">
    <cfRule type="expression" dxfId="91" priority="79">
      <formula>$AA33&lt;5</formula>
    </cfRule>
  </conditionalFormatting>
  <conditionalFormatting sqref="Q33:S44">
    <cfRule type="expression" dxfId="90" priority="78">
      <formula>$AA33&lt;4</formula>
    </cfRule>
  </conditionalFormatting>
  <conditionalFormatting sqref="N33:P44">
    <cfRule type="expression" dxfId="89" priority="77">
      <formula>$AA33&lt;3</formula>
    </cfRule>
  </conditionalFormatting>
  <conditionalFormatting sqref="K33:M44">
    <cfRule type="expression" dxfId="88" priority="76">
      <formula>$AA33&lt;2</formula>
    </cfRule>
  </conditionalFormatting>
  <conditionalFormatting sqref="H33:J44">
    <cfRule type="expression" dxfId="87" priority="75">
      <formula>$AA33=0</formula>
    </cfRule>
  </conditionalFormatting>
  <conditionalFormatting sqref="W33:Y44">
    <cfRule type="expression" dxfId="86" priority="74">
      <formula>$AA33=0</formula>
    </cfRule>
  </conditionalFormatting>
  <conditionalFormatting sqref="T19:V30">
    <cfRule type="expression" dxfId="85" priority="73">
      <formula>$AA19&lt;5</formula>
    </cfRule>
  </conditionalFormatting>
  <conditionalFormatting sqref="Q19:S30">
    <cfRule type="expression" dxfId="84" priority="72">
      <formula>$AA19&lt;4</formula>
    </cfRule>
  </conditionalFormatting>
  <conditionalFormatting sqref="N19:P30">
    <cfRule type="expression" dxfId="83" priority="71">
      <formula>$AA19&lt;3</formula>
    </cfRule>
  </conditionalFormatting>
  <conditionalFormatting sqref="K19:M30">
    <cfRule type="expression" dxfId="82" priority="70">
      <formula>$AA19&lt;2</formula>
    </cfRule>
  </conditionalFormatting>
  <conditionalFormatting sqref="H19:J30">
    <cfRule type="expression" dxfId="81" priority="69">
      <formula>$AA19=0</formula>
    </cfRule>
  </conditionalFormatting>
  <conditionalFormatting sqref="W19:Y30">
    <cfRule type="expression" dxfId="80" priority="68">
      <formula>$AA19=0</formula>
    </cfRule>
  </conditionalFormatting>
  <conditionalFormatting sqref="T49:V60">
    <cfRule type="expression" dxfId="79" priority="67">
      <formula>$AA49&lt;5</formula>
    </cfRule>
  </conditionalFormatting>
  <conditionalFormatting sqref="Q49:S60">
    <cfRule type="expression" dxfId="78" priority="66">
      <formula>$AA49&lt;4</formula>
    </cfRule>
  </conditionalFormatting>
  <conditionalFormatting sqref="N49:P60">
    <cfRule type="expression" dxfId="77" priority="65">
      <formula>$AA49&lt;3</formula>
    </cfRule>
  </conditionalFormatting>
  <conditionalFormatting sqref="K49:M60">
    <cfRule type="expression" dxfId="76" priority="64">
      <formula>$AA49&lt;2</formula>
    </cfRule>
  </conditionalFormatting>
  <conditionalFormatting sqref="H49:J60">
    <cfRule type="expression" dxfId="75" priority="63">
      <formula>$AA49=0</formula>
    </cfRule>
  </conditionalFormatting>
  <conditionalFormatting sqref="W49:Y60">
    <cfRule type="expression" dxfId="74" priority="62">
      <formula>$AA49=0</formula>
    </cfRule>
  </conditionalFormatting>
  <conditionalFormatting sqref="T77:V88">
    <cfRule type="expression" dxfId="73" priority="61">
      <formula>$AA77&lt;5</formula>
    </cfRule>
  </conditionalFormatting>
  <conditionalFormatting sqref="Q77:S88">
    <cfRule type="expression" dxfId="72" priority="60">
      <formula>$AA77&lt;4</formula>
    </cfRule>
  </conditionalFormatting>
  <conditionalFormatting sqref="N77:P88">
    <cfRule type="expression" dxfId="71" priority="59">
      <formula>$AA77&lt;3</formula>
    </cfRule>
  </conditionalFormatting>
  <conditionalFormatting sqref="K77:M88">
    <cfRule type="expression" dxfId="70" priority="58">
      <formula>$AA77&lt;2</formula>
    </cfRule>
  </conditionalFormatting>
  <conditionalFormatting sqref="H77:J88">
    <cfRule type="expression" dxfId="69" priority="57">
      <formula>$AA77=0</formula>
    </cfRule>
  </conditionalFormatting>
  <conditionalFormatting sqref="W77:Y88">
    <cfRule type="expression" dxfId="68" priority="56">
      <formula>$AA77=0</formula>
    </cfRule>
  </conditionalFormatting>
  <conditionalFormatting sqref="T63:V74">
    <cfRule type="expression" dxfId="67" priority="55">
      <formula>$AA63&lt;5</formula>
    </cfRule>
  </conditionalFormatting>
  <conditionalFormatting sqref="Q63:S74">
    <cfRule type="expression" dxfId="66" priority="54">
      <formula>$AA63&lt;4</formula>
    </cfRule>
  </conditionalFormatting>
  <conditionalFormatting sqref="N63:P74">
    <cfRule type="expression" dxfId="65" priority="53">
      <formula>$AA63&lt;3</formula>
    </cfRule>
  </conditionalFormatting>
  <conditionalFormatting sqref="K63:M74">
    <cfRule type="expression" dxfId="64" priority="52">
      <formula>$AA63&lt;2</formula>
    </cfRule>
  </conditionalFormatting>
  <conditionalFormatting sqref="H63:J74">
    <cfRule type="expression" dxfId="63" priority="51">
      <formula>$AA63=0</formula>
    </cfRule>
  </conditionalFormatting>
  <conditionalFormatting sqref="W63:Y74">
    <cfRule type="expression" dxfId="62" priority="50">
      <formula>$AA63=0</formula>
    </cfRule>
  </conditionalFormatting>
  <conditionalFormatting sqref="T93:V104">
    <cfRule type="expression" dxfId="61" priority="49">
      <formula>$AA93&lt;5</formula>
    </cfRule>
  </conditionalFormatting>
  <conditionalFormatting sqref="Q93:S104">
    <cfRule type="expression" dxfId="60" priority="48">
      <formula>$AA93&lt;4</formula>
    </cfRule>
  </conditionalFormatting>
  <conditionalFormatting sqref="N93:P104">
    <cfRule type="expression" dxfId="59" priority="47">
      <formula>$AA93&lt;3</formula>
    </cfRule>
  </conditionalFormatting>
  <conditionalFormatting sqref="K93:M104">
    <cfRule type="expression" dxfId="58" priority="46">
      <formula>$AA93&lt;2</formula>
    </cfRule>
  </conditionalFormatting>
  <conditionalFormatting sqref="H93:J104">
    <cfRule type="expression" dxfId="57" priority="45">
      <formula>$AA93=0</formula>
    </cfRule>
  </conditionalFormatting>
  <conditionalFormatting sqref="W93:Y104">
    <cfRule type="expression" dxfId="56" priority="44">
      <formula>$AA93=0</formula>
    </cfRule>
  </conditionalFormatting>
  <conditionalFormatting sqref="T121:V132">
    <cfRule type="expression" dxfId="55" priority="43">
      <formula>$AA121&lt;5</formula>
    </cfRule>
  </conditionalFormatting>
  <conditionalFormatting sqref="Q121:S132">
    <cfRule type="expression" dxfId="54" priority="42">
      <formula>$AA121&lt;4</formula>
    </cfRule>
  </conditionalFormatting>
  <conditionalFormatting sqref="N121:P132">
    <cfRule type="expression" dxfId="53" priority="41">
      <formula>$AA121&lt;3</formula>
    </cfRule>
  </conditionalFormatting>
  <conditionalFormatting sqref="K121:M132">
    <cfRule type="expression" dxfId="52" priority="40">
      <formula>$AA121&lt;2</formula>
    </cfRule>
  </conditionalFormatting>
  <conditionalFormatting sqref="H121:J132">
    <cfRule type="expression" dxfId="51" priority="39">
      <formula>$AA121=0</formula>
    </cfRule>
  </conditionalFormatting>
  <conditionalFormatting sqref="W121:Y132">
    <cfRule type="expression" dxfId="50" priority="38">
      <formula>$AA121=0</formula>
    </cfRule>
  </conditionalFormatting>
  <conditionalFormatting sqref="T107:V118">
    <cfRule type="expression" dxfId="49" priority="37">
      <formula>$AA107&lt;5</formula>
    </cfRule>
  </conditionalFormatting>
  <conditionalFormatting sqref="Q107:S118">
    <cfRule type="expression" dxfId="48" priority="36">
      <formula>$AA107&lt;4</formula>
    </cfRule>
  </conditionalFormatting>
  <conditionalFormatting sqref="N107:P118">
    <cfRule type="expression" dxfId="47" priority="35">
      <formula>$AA107&lt;3</formula>
    </cfRule>
  </conditionalFormatting>
  <conditionalFormatting sqref="K107:M118">
    <cfRule type="expression" dxfId="46" priority="34">
      <formula>$AA107&lt;2</formula>
    </cfRule>
  </conditionalFormatting>
  <conditionalFormatting sqref="H107:J118">
    <cfRule type="expression" dxfId="45" priority="33">
      <formula>$AA107=0</formula>
    </cfRule>
  </conditionalFormatting>
  <conditionalFormatting sqref="W107:Y118">
    <cfRule type="expression" dxfId="44" priority="32">
      <formula>$AA107=0</formula>
    </cfRule>
  </conditionalFormatting>
  <conditionalFormatting sqref="BM2:XFD21 AY22:XFD22 BM46:XFD69 BM90:XFD113 A1:XFD1 A27:XFD45 A22:AW22 A71:XFD89 A115:XFD1048576 A2:AT21 A23:AT26 AW23:XFD26 A46:AT70 AW70:XFD70 A90:AT114 AW114:XFD114">
    <cfRule type="cellIs" dxfId="43" priority="31" operator="equal">
      <formula>"Brasil"</formula>
    </cfRule>
  </conditionalFormatting>
  <conditionalFormatting sqref="W19:Y19">
    <cfRule type="expression" dxfId="42" priority="30">
      <formula>$AA19=0</formula>
    </cfRule>
  </conditionalFormatting>
  <conditionalFormatting sqref="W19:Y30">
    <cfRule type="expression" dxfId="41" priority="29">
      <formula>$AA19=0</formula>
    </cfRule>
  </conditionalFormatting>
  <conditionalFormatting sqref="AU2:BL3 AV4:BL21">
    <cfRule type="cellIs" dxfId="40" priority="28" operator="equal">
      <formula>"Brasil"</formula>
    </cfRule>
  </conditionalFormatting>
  <conditionalFormatting sqref="AU66:AW66 AY66:BL66 AW67:BL69">
    <cfRule type="cellIs" dxfId="39" priority="18" operator="equal">
      <formula>"Brasil"</formula>
    </cfRule>
  </conditionalFormatting>
  <conditionalFormatting sqref="AU46:BL47 AV48:BL64">
    <cfRule type="cellIs" dxfId="38" priority="17" operator="equal">
      <formula>"Brasil"</formula>
    </cfRule>
  </conditionalFormatting>
  <conditionalFormatting sqref="AU110:AW110 AY110:BL110 AW111:BL113">
    <cfRule type="cellIs" dxfId="37" priority="14" operator="equal">
      <formula>"Brasil"</formula>
    </cfRule>
  </conditionalFormatting>
  <conditionalFormatting sqref="AU90:BL91 AV92:BL108">
    <cfRule type="cellIs" dxfId="36" priority="13" operator="equal">
      <formula>"Brasil"</formula>
    </cfRule>
  </conditionalFormatting>
  <conditionalFormatting sqref="AU21:BL21">
    <cfRule type="expression" dxfId="35" priority="9">
      <formula>$AX$22=216</formula>
    </cfRule>
  </conditionalFormatting>
  <conditionalFormatting sqref="AV65:BL65">
    <cfRule type="cellIs" dxfId="34" priority="8" operator="equal">
      <formula>"Brasil"</formula>
    </cfRule>
  </conditionalFormatting>
  <conditionalFormatting sqref="AU65:BL65">
    <cfRule type="expression" dxfId="33" priority="5">
      <formula>$AX$22=216</formula>
    </cfRule>
  </conditionalFormatting>
  <conditionalFormatting sqref="AV109:BL109">
    <cfRule type="cellIs" dxfId="32" priority="4" operator="equal">
      <formula>"Brasil"</formula>
    </cfRule>
  </conditionalFormatting>
  <conditionalFormatting sqref="AU109:BL109">
    <cfRule type="expression" dxfId="31" priority="1">
      <formula>$AX$22=216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0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15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6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AU48:BL64</xm:sqref>
        </x14:conditionalFormatting>
        <x14:conditionalFormatting xmlns:xm="http://schemas.microsoft.com/office/excel/2006/main">
          <x14:cfRule type="expression" priority="11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2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AU92:BL108</xm:sqref>
        </x14:conditionalFormatting>
        <x14:conditionalFormatting xmlns:xm="http://schemas.microsoft.com/office/excel/2006/main">
          <x14:cfRule type="expression" priority="6" id="{02973667-3BAC-43CA-B82F-3F81E5715420}">
            <xm:f>$AV65=Dummy!$Z$1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7" id="{589E5980-0431-490C-B0A9-DA7927FA5205}">
            <xm:f>OR(AND($AU65=Dummy!$Z$3,$AX$22=216),AND($AU65=Dummy!$Z$4,$AX$22=216),AND($AU65=Dummy!$Z$5,$AX$22=216),AND($AU65=Dummy!$Z$6,$AX$22=216),AND($AU65=Dummy!$Z$7,$AX$22=216),AND($AU65=Dummy!$Z$8,$AX$22=216),AND($AU65=Dummy!$Z$9,$AX$22=216),)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AU65:BL65</xm:sqref>
        </x14:conditionalFormatting>
        <x14:conditionalFormatting xmlns:xm="http://schemas.microsoft.com/office/excel/2006/main">
          <x14:cfRule type="expression" priority="2" id="{C8443F49-517E-4DB4-A210-7372D34C59C4}">
            <xm:f>$AV109=Dummy!$Z$1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3" id="{62D7F684-3C92-4BDC-A601-585E50D8D443}">
            <xm:f>OR(AND($AU109=Dummy!$Z$3,$AX$22=216),AND($AU109=Dummy!$Z$4,$AX$22=216),AND($AU109=Dummy!$Z$5,$AX$22=216),AND($AU109=Dummy!$Z$6,$AX$22=216),AND($AU109=Dummy!$Z$7,$AX$22=216),AND($AU109=Dummy!$Z$8,$AX$22=216),AND($AU109=Dummy!$Z$9,$AX$22=216),)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AU109:BL109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9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70" t="s">
        <v>80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AU2" s="63" t="s">
        <v>79</v>
      </c>
      <c r="AV2" s="64"/>
      <c r="AW2" s="65"/>
      <c r="AX2" s="63" t="s">
        <v>14</v>
      </c>
      <c r="AY2" s="64"/>
      <c r="AZ2" s="65"/>
      <c r="BA2" s="63" t="s">
        <v>60</v>
      </c>
      <c r="BB2" s="64"/>
      <c r="BC2" s="64"/>
      <c r="BD2" s="64"/>
      <c r="BE2" s="64"/>
      <c r="BF2" s="65"/>
      <c r="BG2" s="63" t="s">
        <v>61</v>
      </c>
      <c r="BH2" s="64"/>
      <c r="BI2" s="65"/>
      <c r="BJ2" s="63" t="s">
        <v>62</v>
      </c>
      <c r="BK2" s="64"/>
      <c r="BL2" s="65"/>
    </row>
    <row r="3" spans="2:64" x14ac:dyDescent="0.25">
      <c r="B3" s="16"/>
      <c r="C3" s="24"/>
      <c r="D3" s="67" t="s">
        <v>3</v>
      </c>
      <c r="E3" s="67"/>
      <c r="F3" s="67"/>
      <c r="G3" s="20"/>
      <c r="H3" s="68" t="s">
        <v>4</v>
      </c>
      <c r="I3" s="68"/>
      <c r="J3" s="68"/>
      <c r="K3" s="68" t="s">
        <v>5</v>
      </c>
      <c r="L3" s="68"/>
      <c r="M3" s="68"/>
      <c r="N3" s="68" t="s">
        <v>7</v>
      </c>
      <c r="O3" s="68"/>
      <c r="P3" s="68"/>
      <c r="Q3" s="68" t="s">
        <v>8</v>
      </c>
      <c r="R3" s="68"/>
      <c r="S3" s="68"/>
      <c r="T3" s="68" t="s">
        <v>9</v>
      </c>
      <c r="U3" s="68"/>
      <c r="V3" s="68"/>
      <c r="W3" s="68" t="s">
        <v>10</v>
      </c>
      <c r="X3" s="68"/>
      <c r="Y3" s="68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7">
        <v>45861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Itália</v>
      </c>
      <c r="AW4" s="28">
        <f>VLOOKUP($AU4,Dummy!$A:$R,3,FALSE)</f>
        <v>22</v>
      </c>
      <c r="AX4" s="28">
        <f>VLOOKUP($AU4,Dummy!$A:$R,4,FALSE)</f>
        <v>8</v>
      </c>
      <c r="AY4" s="28">
        <f>VLOOKUP($AU4,Dummy!$A:$R,5,FALSE)</f>
        <v>8</v>
      </c>
      <c r="AZ4" s="28">
        <f>VLOOKUP($AU4,Dummy!$A:$R,6,FALSE)</f>
        <v>0</v>
      </c>
      <c r="BA4" s="28">
        <f>VLOOKUP($AU4,Dummy!$A:$R,7,FALSE)</f>
        <v>5</v>
      </c>
      <c r="BB4" s="28">
        <f>VLOOKUP($AU4,Dummy!$A:$R,8,FALSE)</f>
        <v>1</v>
      </c>
      <c r="BC4" s="28">
        <f>VLOOKUP($AU4,Dummy!$A:$R,9,FALSE)</f>
        <v>2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24</v>
      </c>
      <c r="BH4" s="28">
        <f>VLOOKUP($AU4,Dummy!$A:$R,14,FALSE)</f>
        <v>5</v>
      </c>
      <c r="BI4" s="29">
        <f>VLOOKUP($AU4,Dummy!$A:$R,15,FALSE)</f>
        <v>4800</v>
      </c>
      <c r="BJ4" s="28">
        <f>VLOOKUP($AU4,Dummy!$A:$R,16,FALSE)</f>
        <v>701</v>
      </c>
      <c r="BK4" s="28">
        <f>VLOOKUP($AU4,Dummy!$A:$R,17,FALSE)</f>
        <v>542</v>
      </c>
      <c r="BL4" s="29">
        <f>VLOOKUP($AU4,Dummy!$A:$R,18,FALSE)</f>
        <v>1293.3579335793356</v>
      </c>
    </row>
    <row r="5" spans="2:64" x14ac:dyDescent="0.25">
      <c r="B5" s="17">
        <v>45861</v>
      </c>
      <c r="C5" s="25" t="str">
        <f>IF(Dummy!C38&lt;12,"2º Colocado",Dummy!B38)</f>
        <v>2º Colocado</v>
      </c>
      <c r="D5" s="56"/>
      <c r="E5" s="11" t="s">
        <v>6</v>
      </c>
      <c r="F5" s="34"/>
      <c r="G5" s="21" t="str">
        <f>IF(Dummy!C43&lt;12,"7º Colocado",Dummy!B43)</f>
        <v>7º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Polônia</v>
      </c>
      <c r="AW5" s="28">
        <f>VLOOKUP($AU5,Dummy!$A:$R,3,FALSE)</f>
        <v>21</v>
      </c>
      <c r="AX5" s="28">
        <f>VLOOKUP($AU5,Dummy!$A:$R,4,FALSE)</f>
        <v>8</v>
      </c>
      <c r="AY5" s="28">
        <f>VLOOKUP($AU5,Dummy!$A:$R,5,FALSE)</f>
        <v>7</v>
      </c>
      <c r="AZ5" s="28">
        <f>VLOOKUP($AU5,Dummy!$A:$R,6,FALSE)</f>
        <v>1</v>
      </c>
      <c r="BA5" s="28">
        <f>VLOOKUP($AU5,Dummy!$A:$R,7,FALSE)</f>
        <v>3</v>
      </c>
      <c r="BB5" s="28">
        <f>VLOOKUP($AU5,Dummy!$A:$R,8,FALSE)</f>
        <v>3</v>
      </c>
      <c r="BC5" s="28">
        <f>VLOOKUP($AU5,Dummy!$A:$R,9,FALSE)</f>
        <v>1</v>
      </c>
      <c r="BD5" s="28">
        <f>VLOOKUP($AU5,Dummy!$A:$R,10,FALSE)</f>
        <v>1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23</v>
      </c>
      <c r="BH5" s="28">
        <f>VLOOKUP($AU5,Dummy!$A:$R,14,FALSE)</f>
        <v>8</v>
      </c>
      <c r="BI5" s="29">
        <f>VLOOKUP($AU5,Dummy!$A:$R,15,FALSE)</f>
        <v>2875</v>
      </c>
      <c r="BJ5" s="28">
        <f>VLOOKUP($AU5,Dummy!$A:$R,16,FALSE)</f>
        <v>715</v>
      </c>
      <c r="BK5" s="28">
        <f>VLOOKUP($AU5,Dummy!$A:$R,17,FALSE)</f>
        <v>631</v>
      </c>
      <c r="BL5" s="29">
        <f>VLOOKUP($AU5,Dummy!$A:$R,18,FALSE)</f>
        <v>1133.1220285261491</v>
      </c>
    </row>
    <row r="6" spans="2:64" x14ac:dyDescent="0.25">
      <c r="B6" s="17">
        <v>45862</v>
      </c>
      <c r="C6" s="25" t="str">
        <f>IF(Dummy!C39&lt;12,"3º Colocado",Dummy!B39)</f>
        <v>3º Colocado</v>
      </c>
      <c r="D6" s="56"/>
      <c r="E6" s="11" t="s">
        <v>6</v>
      </c>
      <c r="F6" s="34"/>
      <c r="G6" s="21" t="str">
        <f>IF(Dummy!C42&lt;12,"6º Colocado",Dummy!B42)</f>
        <v>6º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Brasil</v>
      </c>
      <c r="AW6" s="28">
        <f>VLOOKUP($AU6,Dummy!$A:$R,3,FALSE)</f>
        <v>20</v>
      </c>
      <c r="AX6" s="28">
        <f>VLOOKUP($AU6,Dummy!$A:$R,4,FALSE)</f>
        <v>8</v>
      </c>
      <c r="AY6" s="28">
        <f>VLOOKUP($AU6,Dummy!$A:$R,5,FALSE)</f>
        <v>7</v>
      </c>
      <c r="AZ6" s="28">
        <f>VLOOKUP($AU6,Dummy!$A:$R,6,FALSE)</f>
        <v>1</v>
      </c>
      <c r="BA6" s="28">
        <f>VLOOKUP($AU6,Dummy!$A:$R,7,FALSE)</f>
        <v>4</v>
      </c>
      <c r="BB6" s="28">
        <f>VLOOKUP($AU6,Dummy!$A:$R,8,FALSE)</f>
        <v>2</v>
      </c>
      <c r="BC6" s="28">
        <f>VLOOKUP($AU6,Dummy!$A:$R,9,FALSE)</f>
        <v>1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1</v>
      </c>
      <c r="BG6" s="28">
        <f>VLOOKUP($AU6,Dummy!$A:$R,13,FALSE)</f>
        <v>21</v>
      </c>
      <c r="BH6" s="28">
        <f>VLOOKUP($AU6,Dummy!$A:$R,14,FALSE)</f>
        <v>7</v>
      </c>
      <c r="BI6" s="29">
        <f>VLOOKUP($AU6,Dummy!$A:$R,15,FALSE)</f>
        <v>3000</v>
      </c>
      <c r="BJ6" s="28">
        <f>VLOOKUP($AU6,Dummy!$A:$R,16,FALSE)</f>
        <v>673</v>
      </c>
      <c r="BK6" s="28">
        <f>VLOOKUP($AU6,Dummy!$A:$R,17,FALSE)</f>
        <v>579</v>
      </c>
      <c r="BL6" s="29">
        <f>VLOOKUP($AU6,Dummy!$A:$R,18,FALSE)</f>
        <v>1162.348877374784</v>
      </c>
    </row>
    <row r="7" spans="2:64" x14ac:dyDescent="0.25">
      <c r="B7" s="17">
        <v>45862</v>
      </c>
      <c r="C7" s="25" t="str">
        <f>IF(Dummy!C40&lt;12,"4º Colocado",Dummy!B40)</f>
        <v>4º Colocado</v>
      </c>
      <c r="D7" s="56"/>
      <c r="E7" s="11" t="s">
        <v>6</v>
      </c>
      <c r="F7" s="34"/>
      <c r="G7" s="21" t="str">
        <f>IF(Dummy!C41&lt;12,"5º Colocado",Dummy!B41)</f>
        <v>5º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Turquia</v>
      </c>
      <c r="AW7" s="28">
        <f>VLOOKUP($AU7,Dummy!$A:$R,3,FALSE)</f>
        <v>19</v>
      </c>
      <c r="AX7" s="28">
        <f>VLOOKUP($AU7,Dummy!$A:$R,4,FALSE)</f>
        <v>8</v>
      </c>
      <c r="AY7" s="28">
        <f>VLOOKUP($AU7,Dummy!$A:$R,5,FALSE)</f>
        <v>7</v>
      </c>
      <c r="AZ7" s="28">
        <f>VLOOKUP($AU7,Dummy!$A:$R,6,FALSE)</f>
        <v>1</v>
      </c>
      <c r="BA7" s="28">
        <f>VLOOKUP($AU7,Dummy!$A:$R,7,FALSE)</f>
        <v>4</v>
      </c>
      <c r="BB7" s="28">
        <f>VLOOKUP($AU7,Dummy!$A:$R,8,FALSE)</f>
        <v>1</v>
      </c>
      <c r="BC7" s="28">
        <f>VLOOKUP($AU7,Dummy!$A:$R,9,FALSE)</f>
        <v>2</v>
      </c>
      <c r="BD7" s="28">
        <f>VLOOKUP($AU7,Dummy!$A:$R,10,FALSE)</f>
        <v>0</v>
      </c>
      <c r="BE7" s="28">
        <f>VLOOKUP($AU7,Dummy!$A:$R,11,FALSE)</f>
        <v>1</v>
      </c>
      <c r="BF7" s="28">
        <f>VLOOKUP($AU7,Dummy!$A:$R,12,FALSE)</f>
        <v>0</v>
      </c>
      <c r="BG7" s="28">
        <f>VLOOKUP($AU7,Dummy!$A:$R,13,FALSE)</f>
        <v>22</v>
      </c>
      <c r="BH7" s="28">
        <f>VLOOKUP($AU7,Dummy!$A:$R,14,FALSE)</f>
        <v>8</v>
      </c>
      <c r="BI7" s="29">
        <f>VLOOKUP($AU7,Dummy!$A:$R,15,FALSE)</f>
        <v>2750</v>
      </c>
      <c r="BJ7" s="28">
        <f>VLOOKUP($AU7,Dummy!$A:$R,16,FALSE)</f>
        <v>706</v>
      </c>
      <c r="BK7" s="28">
        <f>VLOOKUP($AU7,Dummy!$A:$R,17,FALSE)</f>
        <v>610</v>
      </c>
      <c r="BL7" s="29">
        <f>VLOOKUP($AU7,Dummy!$A:$R,18,FALSE)</f>
        <v>1157.377049180328</v>
      </c>
    </row>
    <row r="8" spans="2:64" x14ac:dyDescent="0.25">
      <c r="AU8" s="31">
        <v>5</v>
      </c>
      <c r="AV8" s="30" t="str">
        <f>VLOOKUP($AU8,Dummy!$A:$R,2,FALSE)</f>
        <v>Japão</v>
      </c>
      <c r="AW8" s="28">
        <f>VLOOKUP($AU8,Dummy!$A:$R,3,FALSE)</f>
        <v>18</v>
      </c>
      <c r="AX8" s="28">
        <f>VLOOKUP($AU8,Dummy!$A:$R,4,FALSE)</f>
        <v>8</v>
      </c>
      <c r="AY8" s="28">
        <f>VLOOKUP($AU8,Dummy!$A:$R,5,FALSE)</f>
        <v>6</v>
      </c>
      <c r="AZ8" s="28">
        <f>VLOOKUP($AU8,Dummy!$A:$R,6,FALSE)</f>
        <v>2</v>
      </c>
      <c r="BA8" s="28">
        <f>VLOOKUP($AU8,Dummy!$A:$R,7,FALSE)</f>
        <v>5</v>
      </c>
      <c r="BB8" s="28">
        <f>VLOOKUP($AU8,Dummy!$A:$R,8,FALSE)</f>
        <v>0</v>
      </c>
      <c r="BC8" s="28">
        <f>VLOOKUP($AU8,Dummy!$A:$R,9,FALSE)</f>
        <v>1</v>
      </c>
      <c r="BD8" s="28">
        <f>VLOOKUP($AU8,Dummy!$A:$R,10,FALSE)</f>
        <v>1</v>
      </c>
      <c r="BE8" s="28">
        <f>VLOOKUP($AU8,Dummy!$A:$R,11,FALSE)</f>
        <v>1</v>
      </c>
      <c r="BF8" s="28">
        <f>VLOOKUP($AU8,Dummy!$A:$R,12,FALSE)</f>
        <v>0</v>
      </c>
      <c r="BG8" s="28">
        <f>VLOOKUP($AU8,Dummy!$A:$R,13,FALSE)</f>
        <v>21</v>
      </c>
      <c r="BH8" s="28">
        <f>VLOOKUP($AU8,Dummy!$A:$R,14,FALSE)</f>
        <v>8</v>
      </c>
      <c r="BI8" s="29">
        <f>VLOOKUP($AU8,Dummy!$A:$R,15,FALSE)</f>
        <v>2625</v>
      </c>
      <c r="BJ8" s="28">
        <f>VLOOKUP($AU8,Dummy!$A:$R,16,FALSE)</f>
        <v>661</v>
      </c>
      <c r="BK8" s="28">
        <f>VLOOKUP($AU8,Dummy!$A:$R,17,FALSE)</f>
        <v>566</v>
      </c>
      <c r="BL8" s="29">
        <f>VLOOKUP($AU8,Dummy!$A:$R,18,FALSE)</f>
        <v>1167.8445229681979</v>
      </c>
    </row>
    <row r="9" spans="2:64" x14ac:dyDescent="0.25">
      <c r="AU9" s="31">
        <v>6</v>
      </c>
      <c r="AV9" s="30" t="str">
        <f>VLOOKUP($AU9,Dummy!$A:$R,2,FALSE)</f>
        <v>China</v>
      </c>
      <c r="AW9" s="28">
        <f>VLOOKUP($AU9,Dummy!$A:$R,3,FALSE)</f>
        <v>15</v>
      </c>
      <c r="AX9" s="28">
        <f>VLOOKUP($AU9,Dummy!$A:$R,4,FALSE)</f>
        <v>8</v>
      </c>
      <c r="AY9" s="28">
        <f>VLOOKUP($AU9,Dummy!$A:$R,5,FALSE)</f>
        <v>5</v>
      </c>
      <c r="AZ9" s="28">
        <f>VLOOKUP($AU9,Dummy!$A:$R,6,FALSE)</f>
        <v>3</v>
      </c>
      <c r="BA9" s="28">
        <f>VLOOKUP($AU9,Dummy!$A:$R,7,FALSE)</f>
        <v>2</v>
      </c>
      <c r="BB9" s="28">
        <f>VLOOKUP($AU9,Dummy!$A:$R,8,FALSE)</f>
        <v>2</v>
      </c>
      <c r="BC9" s="28">
        <f>VLOOKUP($AU9,Dummy!$A:$R,9,FALSE)</f>
        <v>1</v>
      </c>
      <c r="BD9" s="28">
        <f>VLOOKUP($AU9,Dummy!$A:$R,10,FALSE)</f>
        <v>1</v>
      </c>
      <c r="BE9" s="28">
        <f>VLOOKUP($AU9,Dummy!$A:$R,11,FALSE)</f>
        <v>1</v>
      </c>
      <c r="BF9" s="28">
        <f>VLOOKUP($AU9,Dummy!$A:$R,12,FALSE)</f>
        <v>1</v>
      </c>
      <c r="BG9" s="28">
        <f>VLOOKUP($AU9,Dummy!$A:$R,13,FALSE)</f>
        <v>18</v>
      </c>
      <c r="BH9" s="28">
        <f>VLOOKUP($AU9,Dummy!$A:$R,14,FALSE)</f>
        <v>13</v>
      </c>
      <c r="BI9" s="29">
        <f>VLOOKUP($AU9,Dummy!$A:$R,15,FALSE)</f>
        <v>1384.6153846153845</v>
      </c>
      <c r="BJ9" s="28">
        <f>VLOOKUP($AU9,Dummy!$A:$R,16,FALSE)</f>
        <v>722</v>
      </c>
      <c r="BK9" s="28">
        <f>VLOOKUP($AU9,Dummy!$A:$R,17,FALSE)</f>
        <v>659</v>
      </c>
      <c r="BL9" s="29">
        <f>VLOOKUP($AU9,Dummy!$A:$R,18,FALSE)</f>
        <v>1095.5993930197267</v>
      </c>
    </row>
    <row r="10" spans="2:64" ht="15" x14ac:dyDescent="0.25">
      <c r="B10" s="70" t="s">
        <v>81</v>
      </c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AU10" s="31">
        <v>7</v>
      </c>
      <c r="AV10" s="30" t="str">
        <f>VLOOKUP($AU10,Dummy!$A:$R,2,FALSE)</f>
        <v>Alemanha</v>
      </c>
      <c r="AW10" s="28">
        <f>VLOOKUP($AU10,Dummy!$A:$R,3,FALSE)</f>
        <v>14</v>
      </c>
      <c r="AX10" s="28">
        <f>VLOOKUP($AU10,Dummy!$A:$R,4,FALSE)</f>
        <v>8</v>
      </c>
      <c r="AY10" s="28">
        <f>VLOOKUP($AU10,Dummy!$A:$R,5,FALSE)</f>
        <v>4</v>
      </c>
      <c r="AZ10" s="28">
        <f>VLOOKUP($AU10,Dummy!$A:$R,6,FALSE)</f>
        <v>4</v>
      </c>
      <c r="BA10" s="28">
        <f>VLOOKUP($AU10,Dummy!$A:$R,7,FALSE)</f>
        <v>1</v>
      </c>
      <c r="BB10" s="28">
        <f>VLOOKUP($AU10,Dummy!$A:$R,8,FALSE)</f>
        <v>2</v>
      </c>
      <c r="BC10" s="28">
        <f>VLOOKUP($AU10,Dummy!$A:$R,9,FALSE)</f>
        <v>1</v>
      </c>
      <c r="BD10" s="28">
        <f>VLOOKUP($AU10,Dummy!$A:$R,10,FALSE)</f>
        <v>3</v>
      </c>
      <c r="BE10" s="28">
        <f>VLOOKUP($AU10,Dummy!$A:$R,11,FALSE)</f>
        <v>0</v>
      </c>
      <c r="BF10" s="28">
        <f>VLOOKUP($AU10,Dummy!$A:$R,12,FALSE)</f>
        <v>1</v>
      </c>
      <c r="BG10" s="28">
        <f>VLOOKUP($AU10,Dummy!$A:$R,13,FALSE)</f>
        <v>18</v>
      </c>
      <c r="BH10" s="28">
        <f>VLOOKUP($AU10,Dummy!$A:$R,14,FALSE)</f>
        <v>16</v>
      </c>
      <c r="BI10" s="29">
        <f>VLOOKUP($AU10,Dummy!$A:$R,15,FALSE)</f>
        <v>1125</v>
      </c>
      <c r="BJ10" s="28">
        <f>VLOOKUP($AU10,Dummy!$A:$R,16,FALSE)</f>
        <v>721</v>
      </c>
      <c r="BK10" s="28">
        <f>VLOOKUP($AU10,Dummy!$A:$R,17,FALSE)</f>
        <v>738</v>
      </c>
      <c r="BL10" s="29">
        <f>VLOOKUP($AU10,Dummy!$A:$R,18,FALSE)</f>
        <v>976.96476964769647</v>
      </c>
    </row>
    <row r="11" spans="2:64" x14ac:dyDescent="0.25">
      <c r="B11" s="16"/>
      <c r="C11" s="24"/>
      <c r="D11" s="67" t="s">
        <v>3</v>
      </c>
      <c r="E11" s="67"/>
      <c r="F11" s="67"/>
      <c r="G11" s="20"/>
      <c r="H11" s="68" t="s">
        <v>4</v>
      </c>
      <c r="I11" s="68"/>
      <c r="J11" s="68"/>
      <c r="K11" s="68" t="s">
        <v>5</v>
      </c>
      <c r="L11" s="68"/>
      <c r="M11" s="68"/>
      <c r="N11" s="68" t="s">
        <v>7</v>
      </c>
      <c r="O11" s="68"/>
      <c r="P11" s="68"/>
      <c r="Q11" s="68" t="s">
        <v>8</v>
      </c>
      <c r="R11" s="68"/>
      <c r="S11" s="68"/>
      <c r="T11" s="68" t="s">
        <v>9</v>
      </c>
      <c r="U11" s="68"/>
      <c r="V11" s="68"/>
      <c r="W11" s="68" t="s">
        <v>10</v>
      </c>
      <c r="X11" s="68"/>
      <c r="Y11" s="68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Estados Unidos</v>
      </c>
      <c r="AW11" s="28">
        <f>VLOOKUP($AU11,Dummy!$A:$R,3,FALSE)</f>
        <v>11</v>
      </c>
      <c r="AX11" s="28">
        <f>VLOOKUP($AU11,Dummy!$A:$R,4,FALSE)</f>
        <v>8</v>
      </c>
      <c r="AY11" s="28">
        <f>VLOOKUP($AU11,Dummy!$A:$R,5,FALSE)</f>
        <v>4</v>
      </c>
      <c r="AZ11" s="28">
        <f>VLOOKUP($AU11,Dummy!$A:$R,6,FALSE)</f>
        <v>4</v>
      </c>
      <c r="BA11" s="28">
        <f>VLOOKUP($AU11,Dummy!$A:$R,7,FALSE)</f>
        <v>2</v>
      </c>
      <c r="BB11" s="28">
        <f>VLOOKUP($AU11,Dummy!$A:$R,8,FALSE)</f>
        <v>0</v>
      </c>
      <c r="BC11" s="28">
        <f>VLOOKUP($AU11,Dummy!$A:$R,9,FALSE)</f>
        <v>2</v>
      </c>
      <c r="BD11" s="28">
        <f>VLOOKUP($AU11,Dummy!$A:$R,10,FALSE)</f>
        <v>1</v>
      </c>
      <c r="BE11" s="28">
        <f>VLOOKUP($AU11,Dummy!$A:$R,11,FALSE)</f>
        <v>1</v>
      </c>
      <c r="BF11" s="28">
        <f>VLOOKUP($AU11,Dummy!$A:$R,12,FALSE)</f>
        <v>2</v>
      </c>
      <c r="BG11" s="28">
        <f>VLOOKUP($AU11,Dummy!$A:$R,13,FALSE)</f>
        <v>15</v>
      </c>
      <c r="BH11" s="28">
        <f>VLOOKUP($AU11,Dummy!$A:$R,14,FALSE)</f>
        <v>16</v>
      </c>
      <c r="BI11" s="29">
        <f>VLOOKUP($AU11,Dummy!$A:$R,15,FALSE)</f>
        <v>937.5</v>
      </c>
      <c r="BJ11" s="28">
        <f>VLOOKUP($AU11,Dummy!$A:$R,16,FALSE)</f>
        <v>669</v>
      </c>
      <c r="BK11" s="28">
        <f>VLOOKUP($AU11,Dummy!$A:$R,17,FALSE)</f>
        <v>697</v>
      </c>
      <c r="BL11" s="29">
        <f>VLOOKUP($AU11,Dummy!$A:$R,18,FALSE)</f>
        <v>959.82783357245341</v>
      </c>
    </row>
    <row r="12" spans="2:64" x14ac:dyDescent="0.25">
      <c r="B12" s="17">
        <v>45864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IF(AB7=0,"Vencedor Q4",AB7)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República Dominicana</v>
      </c>
      <c r="AW12" s="28">
        <f>VLOOKUP($AU12,Dummy!$A:$R,3,FALSE)</f>
        <v>9</v>
      </c>
      <c r="AX12" s="28">
        <f>VLOOKUP($AU12,Dummy!$A:$R,4,FALSE)</f>
        <v>8</v>
      </c>
      <c r="AY12" s="28">
        <f>VLOOKUP($AU12,Dummy!$A:$R,5,FALSE)</f>
        <v>4</v>
      </c>
      <c r="AZ12" s="28">
        <f>VLOOKUP($AU12,Dummy!$A:$R,6,FALSE)</f>
        <v>4</v>
      </c>
      <c r="BA12" s="28">
        <f>VLOOKUP($AU12,Dummy!$A:$R,7,FALSE)</f>
        <v>1</v>
      </c>
      <c r="BB12" s="28">
        <f>VLOOKUP($AU12,Dummy!$A:$R,8,FALSE)</f>
        <v>0</v>
      </c>
      <c r="BC12" s="28">
        <f>VLOOKUP($AU12,Dummy!$A:$R,9,FALSE)</f>
        <v>3</v>
      </c>
      <c r="BD12" s="28">
        <f>VLOOKUP($AU12,Dummy!$A:$R,10,FALSE)</f>
        <v>0</v>
      </c>
      <c r="BE12" s="28">
        <f>VLOOKUP($AU12,Dummy!$A:$R,11,FALSE)</f>
        <v>1</v>
      </c>
      <c r="BF12" s="28">
        <f>VLOOKUP($AU12,Dummy!$A:$R,12,FALSE)</f>
        <v>3</v>
      </c>
      <c r="BG12" s="28">
        <f>VLOOKUP($AU12,Dummy!$A:$R,13,FALSE)</f>
        <v>13</v>
      </c>
      <c r="BH12" s="28">
        <f>VLOOKUP($AU12,Dummy!$A:$R,14,FALSE)</f>
        <v>18</v>
      </c>
      <c r="BI12" s="29">
        <f>VLOOKUP($AU12,Dummy!$A:$R,15,FALSE)</f>
        <v>722.22222222222217</v>
      </c>
      <c r="BJ12" s="28">
        <f>VLOOKUP($AU12,Dummy!$A:$R,16,FALSE)</f>
        <v>698</v>
      </c>
      <c r="BK12" s="28">
        <f>VLOOKUP($AU12,Dummy!$A:$R,17,FALSE)</f>
        <v>726</v>
      </c>
      <c r="BL12" s="29">
        <f>VLOOKUP($AU12,Dummy!$A:$R,18,FALSE)</f>
        <v>961.43250688705234</v>
      </c>
    </row>
    <row r="13" spans="2:64" x14ac:dyDescent="0.25">
      <c r="B13" s="17">
        <v>45864</v>
      </c>
      <c r="C13" s="25" t="str">
        <f>IF(AB5=0,"Vencedor Q2",AB5)</f>
        <v>Vencedor Q2</v>
      </c>
      <c r="D13" s="56"/>
      <c r="E13" s="11" t="s">
        <v>6</v>
      </c>
      <c r="F13" s="34"/>
      <c r="G13" s="21" t="str">
        <f>IF(AB6=0,"Vencedor Q3",AB6)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França</v>
      </c>
      <c r="AW13" s="28">
        <f>VLOOKUP($AU13,Dummy!$A:$R,3,FALSE)</f>
        <v>10</v>
      </c>
      <c r="AX13" s="28">
        <f>VLOOKUP($AU13,Dummy!$A:$R,4,FALSE)</f>
        <v>8</v>
      </c>
      <c r="AY13" s="28">
        <f>VLOOKUP($AU13,Dummy!$A:$R,5,FALSE)</f>
        <v>3</v>
      </c>
      <c r="AZ13" s="28">
        <f>VLOOKUP($AU13,Dummy!$A:$R,6,FALSE)</f>
        <v>5</v>
      </c>
      <c r="BA13" s="28">
        <f>VLOOKUP($AU13,Dummy!$A:$R,7,FALSE)</f>
        <v>1</v>
      </c>
      <c r="BB13" s="28">
        <f>VLOOKUP($AU13,Dummy!$A:$R,8,FALSE)</f>
        <v>1</v>
      </c>
      <c r="BC13" s="28">
        <f>VLOOKUP($AU13,Dummy!$A:$R,9,FALSE)</f>
        <v>1</v>
      </c>
      <c r="BD13" s="28">
        <f>VLOOKUP($AU13,Dummy!$A:$R,10,FALSE)</f>
        <v>2</v>
      </c>
      <c r="BE13" s="28">
        <f>VLOOKUP($AU13,Dummy!$A:$R,11,FALSE)</f>
        <v>2</v>
      </c>
      <c r="BF13" s="28">
        <f>VLOOKUP($AU13,Dummy!$A:$R,12,FALSE)</f>
        <v>1</v>
      </c>
      <c r="BG13" s="28">
        <f>VLOOKUP($AU13,Dummy!$A:$R,13,FALSE)</f>
        <v>15</v>
      </c>
      <c r="BH13" s="28">
        <f>VLOOKUP($AU13,Dummy!$A:$R,14,FALSE)</f>
        <v>18</v>
      </c>
      <c r="BI13" s="29">
        <f>VLOOKUP($AU13,Dummy!$A:$R,15,FALSE)</f>
        <v>833.33333333333337</v>
      </c>
      <c r="BJ13" s="28">
        <f>VLOOKUP($AU13,Dummy!$A:$R,16,FALSE)</f>
        <v>678</v>
      </c>
      <c r="BK13" s="28">
        <f>VLOOKUP($AU13,Dummy!$A:$R,17,FALSE)</f>
        <v>719</v>
      </c>
      <c r="BL13" s="29">
        <f>VLOOKUP($AU13,Dummy!$A:$R,18,FALSE)</f>
        <v>942.97635605006963</v>
      </c>
    </row>
    <row r="14" spans="2:64" x14ac:dyDescent="0.25">
      <c r="AU14" s="31">
        <v>11</v>
      </c>
      <c r="AV14" s="30" t="str">
        <f>VLOOKUP($AU14,Dummy!$A:$R,2,FALSE)</f>
        <v>Holanda</v>
      </c>
      <c r="AW14" s="28">
        <f>VLOOKUP($AU14,Dummy!$A:$R,3,FALSE)</f>
        <v>10</v>
      </c>
      <c r="AX14" s="28">
        <f>VLOOKUP($AU14,Dummy!$A:$R,4,FALSE)</f>
        <v>8</v>
      </c>
      <c r="AY14" s="28">
        <f>VLOOKUP($AU14,Dummy!$A:$R,5,FALSE)</f>
        <v>3</v>
      </c>
      <c r="AZ14" s="28">
        <f>VLOOKUP($AU14,Dummy!$A:$R,6,FALSE)</f>
        <v>5</v>
      </c>
      <c r="BA14" s="28">
        <f>VLOOKUP($AU14,Dummy!$A:$R,7,FALSE)</f>
        <v>1</v>
      </c>
      <c r="BB14" s="28">
        <f>VLOOKUP($AU14,Dummy!$A:$R,8,FALSE)</f>
        <v>1</v>
      </c>
      <c r="BC14" s="28">
        <f>VLOOKUP($AU14,Dummy!$A:$R,9,FALSE)</f>
        <v>1</v>
      </c>
      <c r="BD14" s="28">
        <f>VLOOKUP($AU14,Dummy!$A:$R,10,FALSE)</f>
        <v>2</v>
      </c>
      <c r="BE14" s="28">
        <f>VLOOKUP($AU14,Dummy!$A:$R,11,FALSE)</f>
        <v>0</v>
      </c>
      <c r="BF14" s="28">
        <f>VLOOKUP($AU14,Dummy!$A:$R,12,FALSE)</f>
        <v>3</v>
      </c>
      <c r="BG14" s="28">
        <f>VLOOKUP($AU14,Dummy!$A:$R,13,FALSE)</f>
        <v>13</v>
      </c>
      <c r="BH14" s="28">
        <f>VLOOKUP($AU14,Dummy!$A:$R,14,FALSE)</f>
        <v>18</v>
      </c>
      <c r="BI14" s="29">
        <f>VLOOKUP($AU14,Dummy!$A:$R,15,FALSE)</f>
        <v>722.22222222222217</v>
      </c>
      <c r="BJ14" s="28">
        <f>VLOOKUP($AU14,Dummy!$A:$R,16,FALSE)</f>
        <v>650</v>
      </c>
      <c r="BK14" s="28">
        <f>VLOOKUP($AU14,Dummy!$A:$R,17,FALSE)</f>
        <v>681</v>
      </c>
      <c r="BL14" s="29">
        <f>VLOOKUP($AU14,Dummy!$A:$R,18,FALSE)</f>
        <v>954.47870778267247</v>
      </c>
    </row>
    <row r="15" spans="2:64" x14ac:dyDescent="0.25">
      <c r="AU15" s="31">
        <v>12</v>
      </c>
      <c r="AV15" s="30" t="str">
        <f>VLOOKUP($AU15,Dummy!$A:$R,2,FALSE)</f>
        <v>Bulgária</v>
      </c>
      <c r="AW15" s="28">
        <f>VLOOKUP($AU15,Dummy!$A:$R,3,FALSE)</f>
        <v>9</v>
      </c>
      <c r="AX15" s="28">
        <f>VLOOKUP($AU15,Dummy!$A:$R,4,FALSE)</f>
        <v>8</v>
      </c>
      <c r="AY15" s="28">
        <f>VLOOKUP($AU15,Dummy!$A:$R,5,FALSE)</f>
        <v>3</v>
      </c>
      <c r="AZ15" s="28">
        <f>VLOOKUP($AU15,Dummy!$A:$R,6,FALSE)</f>
        <v>5</v>
      </c>
      <c r="BA15" s="28">
        <f>VLOOKUP($AU15,Dummy!$A:$R,7,FALSE)</f>
        <v>0</v>
      </c>
      <c r="BB15" s="28">
        <f>VLOOKUP($AU15,Dummy!$A:$R,8,FALSE)</f>
        <v>1</v>
      </c>
      <c r="BC15" s="28">
        <f>VLOOKUP($AU15,Dummy!$A:$R,9,FALSE)</f>
        <v>2</v>
      </c>
      <c r="BD15" s="28">
        <f>VLOOKUP($AU15,Dummy!$A:$R,10,FALSE)</f>
        <v>2</v>
      </c>
      <c r="BE15" s="28">
        <f>VLOOKUP($AU15,Dummy!$A:$R,11,FALSE)</f>
        <v>1</v>
      </c>
      <c r="BF15" s="28">
        <f>VLOOKUP($AU15,Dummy!$A:$R,12,FALSE)</f>
        <v>2</v>
      </c>
      <c r="BG15" s="28">
        <f>VLOOKUP($AU15,Dummy!$A:$R,13,FALSE)</f>
        <v>14</v>
      </c>
      <c r="BH15" s="28">
        <f>VLOOKUP($AU15,Dummy!$A:$R,14,FALSE)</f>
        <v>20</v>
      </c>
      <c r="BI15" s="29">
        <f>VLOOKUP($AU15,Dummy!$A:$R,15,FALSE)</f>
        <v>700</v>
      </c>
      <c r="BJ15" s="28">
        <f>VLOOKUP($AU15,Dummy!$A:$R,16,FALSE)</f>
        <v>693</v>
      </c>
      <c r="BK15" s="28">
        <f>VLOOKUP($AU15,Dummy!$A:$R,17,FALSE)</f>
        <v>775</v>
      </c>
      <c r="BL15" s="29">
        <f>VLOOKUP($AU15,Dummy!$A:$R,18,FALSE)</f>
        <v>894.19354838709671</v>
      </c>
    </row>
    <row r="16" spans="2:64" x14ac:dyDescent="0.25">
      <c r="AU16" s="31">
        <v>13</v>
      </c>
      <c r="AV16" s="30" t="str">
        <f>VLOOKUP($AU16,Dummy!$A:$R,2,FALSE)</f>
        <v>Bélgica</v>
      </c>
      <c r="AW16" s="28">
        <f>VLOOKUP($AU16,Dummy!$A:$R,3,FALSE)</f>
        <v>8</v>
      </c>
      <c r="AX16" s="28">
        <f>VLOOKUP($AU16,Dummy!$A:$R,4,FALSE)</f>
        <v>8</v>
      </c>
      <c r="AY16" s="28">
        <f>VLOOKUP($AU16,Dummy!$A:$R,5,FALSE)</f>
        <v>3</v>
      </c>
      <c r="AZ16" s="28">
        <f>VLOOKUP($AU16,Dummy!$A:$R,6,FALSE)</f>
        <v>5</v>
      </c>
      <c r="BA16" s="28">
        <f>VLOOKUP($AU16,Dummy!$A:$R,7,FALSE)</f>
        <v>0</v>
      </c>
      <c r="BB16" s="28">
        <f>VLOOKUP($AU16,Dummy!$A:$R,8,FALSE)</f>
        <v>2</v>
      </c>
      <c r="BC16" s="28">
        <f>VLOOKUP($AU16,Dummy!$A:$R,9,FALSE)</f>
        <v>1</v>
      </c>
      <c r="BD16" s="28">
        <f>VLOOKUP($AU16,Dummy!$A:$R,10,FALSE)</f>
        <v>0</v>
      </c>
      <c r="BE16" s="28">
        <f>VLOOKUP($AU16,Dummy!$A:$R,11,FALSE)</f>
        <v>2</v>
      </c>
      <c r="BF16" s="28">
        <f>VLOOKUP($AU16,Dummy!$A:$R,12,FALSE)</f>
        <v>3</v>
      </c>
      <c r="BG16" s="28">
        <f>VLOOKUP($AU16,Dummy!$A:$R,13,FALSE)</f>
        <v>11</v>
      </c>
      <c r="BH16" s="28">
        <f>VLOOKUP($AU16,Dummy!$A:$R,14,FALSE)</f>
        <v>19</v>
      </c>
      <c r="BI16" s="29">
        <f>VLOOKUP($AU16,Dummy!$A:$R,15,FALSE)</f>
        <v>578.9473684210526</v>
      </c>
      <c r="BJ16" s="28">
        <f>VLOOKUP($AU16,Dummy!$A:$R,16,FALSE)</f>
        <v>633</v>
      </c>
      <c r="BK16" s="28">
        <f>VLOOKUP($AU16,Dummy!$A:$R,17,FALSE)</f>
        <v>694</v>
      </c>
      <c r="BL16" s="29">
        <f>VLOOKUP($AU16,Dummy!$A:$R,18,FALSE)</f>
        <v>912.10374639769452</v>
      </c>
    </row>
    <row r="17" spans="2:64" ht="15" x14ac:dyDescent="0.25">
      <c r="B17" s="70" t="s">
        <v>82</v>
      </c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Canadá</v>
      </c>
      <c r="AW17" s="28">
        <f>VLOOKUP($AU17,Dummy!$A:$R,3,FALSE)</f>
        <v>6</v>
      </c>
      <c r="AX17" s="28">
        <f>VLOOKUP($AU17,Dummy!$A:$R,4,FALSE)</f>
        <v>8</v>
      </c>
      <c r="AY17" s="28">
        <f>VLOOKUP($AU17,Dummy!$A:$R,5,FALSE)</f>
        <v>2</v>
      </c>
      <c r="AZ17" s="28">
        <f>VLOOKUP($AU17,Dummy!$A:$R,6,FALSE)</f>
        <v>6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2</v>
      </c>
      <c r="BD17" s="28">
        <f>VLOOKUP($AU17,Dummy!$A:$R,10,FALSE)</f>
        <v>2</v>
      </c>
      <c r="BE17" s="28">
        <f>VLOOKUP($AU17,Dummy!$A:$R,11,FALSE)</f>
        <v>1</v>
      </c>
      <c r="BF17" s="28">
        <f>VLOOKUP($AU17,Dummy!$A:$R,12,FALSE)</f>
        <v>3</v>
      </c>
      <c r="BG17" s="28">
        <f>VLOOKUP($AU17,Dummy!$A:$R,13,FALSE)</f>
        <v>11</v>
      </c>
      <c r="BH17" s="28">
        <f>VLOOKUP($AU17,Dummy!$A:$R,14,FALSE)</f>
        <v>22</v>
      </c>
      <c r="BI17" s="29">
        <f>VLOOKUP($AU17,Dummy!$A:$R,15,FALSE)</f>
        <v>500</v>
      </c>
      <c r="BJ17" s="28">
        <f>VLOOKUP($AU17,Dummy!$A:$R,16,FALSE)</f>
        <v>685</v>
      </c>
      <c r="BK17" s="28">
        <f>VLOOKUP($AU17,Dummy!$A:$R,17,FALSE)</f>
        <v>721</v>
      </c>
      <c r="BL17" s="29">
        <f>VLOOKUP($AU17,Dummy!$A:$R,18,FALSE)</f>
        <v>950.06934812760062</v>
      </c>
    </row>
    <row r="18" spans="2:64" x14ac:dyDescent="0.25">
      <c r="B18" s="16"/>
      <c r="C18" s="24"/>
      <c r="D18" s="67" t="s">
        <v>3</v>
      </c>
      <c r="E18" s="67"/>
      <c r="F18" s="67"/>
      <c r="G18" s="20"/>
      <c r="H18" s="68" t="s">
        <v>4</v>
      </c>
      <c r="I18" s="68"/>
      <c r="J18" s="68"/>
      <c r="K18" s="68" t="s">
        <v>5</v>
      </c>
      <c r="L18" s="68"/>
      <c r="M18" s="68"/>
      <c r="N18" s="68" t="s">
        <v>7</v>
      </c>
      <c r="O18" s="68"/>
      <c r="P18" s="68"/>
      <c r="Q18" s="68" t="s">
        <v>8</v>
      </c>
      <c r="R18" s="68"/>
      <c r="S18" s="68"/>
      <c r="T18" s="68" t="s">
        <v>9</v>
      </c>
      <c r="U18" s="68"/>
      <c r="V18" s="68"/>
      <c r="W18" s="68" t="s">
        <v>10</v>
      </c>
      <c r="X18" s="68"/>
      <c r="Y18" s="68"/>
      <c r="AA18" s="4">
        <f>AD18+AE18</f>
        <v>0</v>
      </c>
      <c r="AB18" s="4">
        <f>IF(OR(D19="",F19=""),0,IF(D19&gt;F19,C19,G19))</f>
        <v>0</v>
      </c>
      <c r="AC18" s="4">
        <f>IF(OR(D19="",F19=""),0,1)</f>
        <v>0</v>
      </c>
      <c r="AD18" s="4">
        <f>IF(OR(D19="",F19=""),0,IF(D19&gt;F19,D19,F19))</f>
        <v>0</v>
      </c>
      <c r="AE18" s="4">
        <f>IF(OR(D19="",F19=""),0,IF(D19&gt;F19,F19,D19))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IF(D19&gt;F19,SUM(H19,K19,N19,Q19,T19,),SUM(J19,M19,P19,S19,V19))</f>
        <v>0</v>
      </c>
      <c r="AJ18" s="4">
        <f>IF(D19&gt;F19,SUM(J19,M19,P19,S19,V19),SUM(H19,K19,N19,Q19,T19))</f>
        <v>0</v>
      </c>
      <c r="AL18" s="4">
        <f>IF(OR(D19="",F19=""),0,IF(D19&lt;F19,C19,G19))</f>
        <v>0</v>
      </c>
      <c r="AM18" s="4">
        <f>IF(OR(D19="",F19=""),0,1)</f>
        <v>0</v>
      </c>
      <c r="AN18" s="4">
        <f>IF(OR(D19="",F19=""),0,IF(D19&lt;F19,D19,F19))</f>
        <v>0</v>
      </c>
      <c r="AO18" s="4">
        <f>IF(OR(D19="",F19=""),0,IF(D19&lt;F19,F19,D19))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IF(D19&lt;F19,SUM(H19,K19,N19,Q19,T19,),SUM(J19,M19,P19,S19,V19))</f>
        <v>0</v>
      </c>
      <c r="AT18" s="4">
        <f>IF(D19&lt;F19,SUM(J19,M19,P19,S19,V19),SUM(H19,K19,N19,Q19,T19))</f>
        <v>0</v>
      </c>
      <c r="AU18" s="31">
        <v>15</v>
      </c>
      <c r="AV18" s="30" t="str">
        <f>VLOOKUP($AU18,Dummy!$A:$R,2,FALSE)</f>
        <v>República Tcheca</v>
      </c>
      <c r="AW18" s="28">
        <f>VLOOKUP($AU18,Dummy!$A:$R,3,FALSE)</f>
        <v>4</v>
      </c>
      <c r="AX18" s="28">
        <f>VLOOKUP($AU18,Dummy!$A:$R,4,FALSE)</f>
        <v>4</v>
      </c>
      <c r="AY18" s="28">
        <f>VLOOKUP($AU18,Dummy!$A:$R,5,FALSE)</f>
        <v>2</v>
      </c>
      <c r="AZ18" s="28">
        <f>VLOOKUP($AU18,Dummy!$A:$R,6,FALSE)</f>
        <v>2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2</v>
      </c>
      <c r="BD18" s="28">
        <f>VLOOKUP($AU18,Dummy!$A:$R,10,FALSE)</f>
        <v>0</v>
      </c>
      <c r="BE18" s="28">
        <f>VLOOKUP($AU18,Dummy!$A:$R,11,FALSE)</f>
        <v>1</v>
      </c>
      <c r="BF18" s="28">
        <f>VLOOKUP($AU18,Dummy!$A:$R,12,FALSE)</f>
        <v>1</v>
      </c>
      <c r="BG18" s="28">
        <f>VLOOKUP($AU18,Dummy!$A:$R,13,FALSE)</f>
        <v>7</v>
      </c>
      <c r="BH18" s="28">
        <f>VLOOKUP($AU18,Dummy!$A:$R,14,FALSE)</f>
        <v>10</v>
      </c>
      <c r="BI18" s="29">
        <f>VLOOKUP($AU18,Dummy!$A:$R,15,FALSE)</f>
        <v>700</v>
      </c>
      <c r="BJ18" s="28">
        <f>VLOOKUP($AU18,Dummy!$A:$R,16,FALSE)</f>
        <v>369</v>
      </c>
      <c r="BK18" s="28">
        <f>VLOOKUP($AU18,Dummy!$A:$R,17,FALSE)</f>
        <v>369</v>
      </c>
      <c r="BL18" s="29">
        <f>VLOOKUP($AU18,Dummy!$A:$R,18,FALSE)</f>
        <v>1000</v>
      </c>
    </row>
    <row r="19" spans="2:64" x14ac:dyDescent="0.25">
      <c r="B19" s="17">
        <v>45865</v>
      </c>
      <c r="C19" s="25" t="str">
        <f>IF(AL12=0,"Perdedor S1",AL12)</f>
        <v>Perdedor S1</v>
      </c>
      <c r="D19" s="56"/>
      <c r="E19" s="11" t="s">
        <v>6</v>
      </c>
      <c r="F19" s="34"/>
      <c r="G19" s="21" t="str">
        <f>IF(AL13=0,"Perdedor S2",AL13)</f>
        <v>Perdedor S2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12">
        <f>SUM(H19,K19,N19,Q19,T19)</f>
        <v>0</v>
      </c>
      <c r="X19" s="13" t="s">
        <v>6</v>
      </c>
      <c r="Y19" s="14">
        <f>SUM(J19,M19,P19,S19,V19)</f>
        <v>0</v>
      </c>
      <c r="AU19" s="31">
        <v>16</v>
      </c>
      <c r="AV19" s="30" t="str">
        <f>VLOOKUP($AU19,Dummy!$A:$R,2,FALSE)</f>
        <v>Tailândia</v>
      </c>
      <c r="AW19" s="28">
        <f>VLOOKUP($AU19,Dummy!$A:$R,3,FALSE)</f>
        <v>5</v>
      </c>
      <c r="AX19" s="28">
        <f>VLOOKUP($AU19,Dummy!$A:$R,4,FALSE)</f>
        <v>8</v>
      </c>
      <c r="AY19" s="28">
        <f>VLOOKUP($AU19,Dummy!$A:$R,5,FALSE)</f>
        <v>1</v>
      </c>
      <c r="AZ19" s="28">
        <f>VLOOKUP($AU19,Dummy!$A:$R,6,FALSE)</f>
        <v>7</v>
      </c>
      <c r="BA19" s="28">
        <f>VLOOKUP($AU19,Dummy!$A:$R,7,FALSE)</f>
        <v>0</v>
      </c>
      <c r="BB19" s="28">
        <f>VLOOKUP($AU19,Dummy!$A:$R,8,FALSE)</f>
        <v>1</v>
      </c>
      <c r="BC19" s="28">
        <f>VLOOKUP($AU19,Dummy!$A:$R,9,FALSE)</f>
        <v>0</v>
      </c>
      <c r="BD19" s="28">
        <f>VLOOKUP($AU19,Dummy!$A:$R,10,FALSE)</f>
        <v>2</v>
      </c>
      <c r="BE19" s="28">
        <f>VLOOKUP($AU19,Dummy!$A:$R,11,FALSE)</f>
        <v>1</v>
      </c>
      <c r="BF19" s="28">
        <f>VLOOKUP($AU19,Dummy!$A:$R,12,FALSE)</f>
        <v>4</v>
      </c>
      <c r="BG19" s="28">
        <f>VLOOKUP($AU19,Dummy!$A:$R,13,FALSE)</f>
        <v>8</v>
      </c>
      <c r="BH19" s="28">
        <f>VLOOKUP($AU19,Dummy!$A:$R,14,FALSE)</f>
        <v>22</v>
      </c>
      <c r="BI19" s="29">
        <f>VLOOKUP($AU19,Dummy!$A:$R,15,FALSE)</f>
        <v>363.63636363636363</v>
      </c>
      <c r="BJ19" s="28">
        <f>VLOOKUP($AU19,Dummy!$A:$R,16,FALSE)</f>
        <v>627</v>
      </c>
      <c r="BK19" s="28">
        <f>VLOOKUP($AU19,Dummy!$A:$R,17,FALSE)</f>
        <v>697</v>
      </c>
      <c r="BL19" s="29">
        <f>VLOOKUP($AU19,Dummy!$A:$R,18,FALSE)</f>
        <v>899.56958393113337</v>
      </c>
    </row>
    <row r="20" spans="2:64" x14ac:dyDescent="0.25">
      <c r="AU20" s="31">
        <v>17</v>
      </c>
      <c r="AV20" s="30" t="str">
        <f>VLOOKUP($AU20,Dummy!$A:$R,2,FALSE)</f>
        <v>Coreia do Sul</v>
      </c>
      <c r="AW20" s="28">
        <f>VLOOKUP($AU20,Dummy!$A:$R,3,FALSE)</f>
        <v>4</v>
      </c>
      <c r="AX20" s="28">
        <f>VLOOKUP($AU20,Dummy!$A:$R,4,FALSE)</f>
        <v>8</v>
      </c>
      <c r="AY20" s="28">
        <f>VLOOKUP($AU20,Dummy!$A:$R,5,FALSE)</f>
        <v>1</v>
      </c>
      <c r="AZ20" s="28">
        <f>VLOOKUP($AU20,Dummy!$A:$R,6,FALSE)</f>
        <v>7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1</v>
      </c>
      <c r="BD20" s="28">
        <f>VLOOKUP($AU20,Dummy!$A:$R,10,FALSE)</f>
        <v>2</v>
      </c>
      <c r="BE20" s="28">
        <f>VLOOKUP($AU20,Dummy!$A:$R,11,FALSE)</f>
        <v>1</v>
      </c>
      <c r="BF20" s="28">
        <f>VLOOKUP($AU20,Dummy!$A:$R,12,FALSE)</f>
        <v>4</v>
      </c>
      <c r="BG20" s="28">
        <f>VLOOKUP($AU20,Dummy!$A:$R,13,FALSE)</f>
        <v>8</v>
      </c>
      <c r="BH20" s="28">
        <f>VLOOKUP($AU20,Dummy!$A:$R,14,FALSE)</f>
        <v>23</v>
      </c>
      <c r="BI20" s="29">
        <f>VLOOKUP($AU20,Dummy!$A:$R,15,FALSE)</f>
        <v>347.82608695652175</v>
      </c>
      <c r="BJ20" s="28">
        <f>VLOOKUP($AU20,Dummy!$A:$R,16,FALSE)</f>
        <v>563</v>
      </c>
      <c r="BK20" s="28">
        <f>VLOOKUP($AU20,Dummy!$A:$R,17,FALSE)</f>
        <v>717</v>
      </c>
      <c r="BL20" s="29">
        <f>VLOOKUP($AU20,Dummy!$A:$R,18,FALSE)</f>
        <v>785.21617852161785</v>
      </c>
    </row>
    <row r="21" spans="2:64" x14ac:dyDescent="0.25">
      <c r="AU21" s="31">
        <v>18</v>
      </c>
      <c r="AV21" s="30" t="str">
        <f>VLOOKUP($AU21,Dummy!$A:$R,2,FALSE)</f>
        <v>Sérvia</v>
      </c>
      <c r="AW21" s="28">
        <f>VLOOKUP($AU21,Dummy!$A:$R,3,FALSE)</f>
        <v>5</v>
      </c>
      <c r="AX21" s="28">
        <f>VLOOKUP($AU21,Dummy!$A:$R,4,FALSE)</f>
        <v>8</v>
      </c>
      <c r="AY21" s="28">
        <f>VLOOKUP($AU21,Dummy!$A:$R,5,FALSE)</f>
        <v>0</v>
      </c>
      <c r="AZ21" s="28">
        <f>VLOOKUP($AU21,Dummy!$A:$R,6,FALSE)</f>
        <v>8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5</v>
      </c>
      <c r="BE21" s="28">
        <f>VLOOKUP($AU21,Dummy!$A:$R,11,FALSE)</f>
        <v>2</v>
      </c>
      <c r="BF21" s="28">
        <f>VLOOKUP($AU21,Dummy!$A:$R,12,FALSE)</f>
        <v>1</v>
      </c>
      <c r="BG21" s="28">
        <f>VLOOKUP($AU21,Dummy!$A:$R,13,FALSE)</f>
        <v>12</v>
      </c>
      <c r="BH21" s="28">
        <f>VLOOKUP($AU21,Dummy!$A:$R,14,FALSE)</f>
        <v>24</v>
      </c>
      <c r="BI21" s="29">
        <f>VLOOKUP($AU21,Dummy!$A:$R,15,FALSE)</f>
        <v>500</v>
      </c>
      <c r="BJ21" s="28">
        <f>VLOOKUP($AU21,Dummy!$A:$R,16,FALSE)</f>
        <v>731</v>
      </c>
      <c r="BK21" s="28">
        <f>VLOOKUP($AU21,Dummy!$A:$R,17,FALSE)</f>
        <v>786</v>
      </c>
      <c r="BL21" s="29">
        <f>VLOOKUP($AU21,Dummy!$A:$R,18,FALSE)</f>
        <v>930.02544529262093</v>
      </c>
    </row>
    <row r="22" spans="2:64" x14ac:dyDescent="0.25">
      <c r="AX22" s="53">
        <f>SUM(AX4:AX21)</f>
        <v>140</v>
      </c>
    </row>
    <row r="23" spans="2:64" ht="15" x14ac:dyDescent="0.25">
      <c r="B23" s="70" t="s">
        <v>83</v>
      </c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59" t="s">
        <v>90</v>
      </c>
      <c r="AV23" s="59"/>
    </row>
    <row r="24" spans="2:64" x14ac:dyDescent="0.25">
      <c r="B24" s="16"/>
      <c r="C24" s="24"/>
      <c r="D24" s="67" t="s">
        <v>3</v>
      </c>
      <c r="E24" s="67"/>
      <c r="F24" s="67"/>
      <c r="G24" s="20"/>
      <c r="H24" s="68" t="s">
        <v>4</v>
      </c>
      <c r="I24" s="68"/>
      <c r="J24" s="68"/>
      <c r="K24" s="68" t="s">
        <v>5</v>
      </c>
      <c r="L24" s="68"/>
      <c r="M24" s="68"/>
      <c r="N24" s="68" t="s">
        <v>7</v>
      </c>
      <c r="O24" s="68"/>
      <c r="P24" s="68"/>
      <c r="Q24" s="68" t="s">
        <v>8</v>
      </c>
      <c r="R24" s="68"/>
      <c r="S24" s="68"/>
      <c r="T24" s="68" t="s">
        <v>9</v>
      </c>
      <c r="U24" s="68"/>
      <c r="V24" s="68"/>
      <c r="W24" s="68" t="s">
        <v>10</v>
      </c>
      <c r="X24" s="68"/>
      <c r="Y24" s="68"/>
      <c r="AA24" s="4">
        <f>AD24+AE24</f>
        <v>0</v>
      </c>
      <c r="AB24" s="4">
        <f>IF(OR(D25="",F25=""),0,IF(D25&gt;F25,C25,G25))</f>
        <v>0</v>
      </c>
      <c r="AC24" s="4">
        <f>IF(OR(D25="",F25=""),0,1)</f>
        <v>0</v>
      </c>
      <c r="AD24" s="4">
        <f>IF(OR(D25="",F25=""),0,IF(D25&gt;F25,D25,F25))</f>
        <v>0</v>
      </c>
      <c r="AE24" s="4">
        <f>IF(OR(D25="",F25=""),0,IF(D25&gt;F25,F25,D25))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IF(D25&gt;F25,SUM(H25,K25,N25,Q25,T25,),SUM(J25,M25,P25,S25,V25))</f>
        <v>0</v>
      </c>
      <c r="AJ24" s="4">
        <f>IF(D25&gt;F25,SUM(J25,M25,P25,S25,V25),SUM(H25,K25,N25,Q25,T25))</f>
        <v>0</v>
      </c>
      <c r="AL24" s="4">
        <f>IF(OR(D25="",F25=""),0,IF(D25&lt;F25,C25,G25))</f>
        <v>0</v>
      </c>
      <c r="AM24" s="4">
        <f>IF(OR(D25="",F25=""),0,1)</f>
        <v>0</v>
      </c>
      <c r="AN24" s="4">
        <f>IF(OR(D25="",F25=""),0,IF(D25&lt;F25,D25,F25))</f>
        <v>0</v>
      </c>
      <c r="AO24" s="4">
        <f>IF(OR(D25="",F25=""),0,IF(D25&lt;F25,F25,D25))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IF(D25&lt;F25,SUM(H25,K25,N25,Q25,T25,),SUM(J25,M25,P25,S25,V25))</f>
        <v>0</v>
      </c>
      <c r="AT24" s="4">
        <f>IF(D25&lt;F25,SUM(J25,M25,P25,S25,V25),SUM(H25,K25,N25,Q25,T25))</f>
        <v>0</v>
      </c>
      <c r="AU24" s="54"/>
      <c r="AV24" s="7" t="s">
        <v>91</v>
      </c>
    </row>
    <row r="25" spans="2:64" x14ac:dyDescent="0.25">
      <c r="B25" s="17">
        <v>45865</v>
      </c>
      <c r="C25" s="25" t="str">
        <f>IF(AB12=0,"Vencedor S1",AB12)</f>
        <v>Vencedor S1</v>
      </c>
      <c r="D25" s="56"/>
      <c r="E25" s="11" t="s">
        <v>6</v>
      </c>
      <c r="F25" s="34"/>
      <c r="G25" s="21" t="str">
        <f>IF(AB13=0,"Vencedor S2",AB13)</f>
        <v>Vencedor S2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12">
        <f>SUM(H25,K25,N25,Q25,T25)</f>
        <v>0</v>
      </c>
      <c r="X25" s="13" t="s">
        <v>6</v>
      </c>
      <c r="Y25" s="14">
        <f>SUM(J25,M25,P25,S25,V25)</f>
        <v>0</v>
      </c>
      <c r="AU25" s="55"/>
      <c r="AV25" s="7" t="s">
        <v>92</v>
      </c>
    </row>
    <row r="26" spans="2:64" x14ac:dyDescent="0.25">
      <c r="AU26" s="57"/>
      <c r="AV26" s="7" t="s">
        <v>93</v>
      </c>
    </row>
    <row r="27" spans="2:64" s="39" customFormat="1" ht="18" customHeight="1" x14ac:dyDescent="0.25">
      <c r="B27" s="19"/>
      <c r="C27" s="27"/>
      <c r="D27" s="43"/>
      <c r="E27" s="4"/>
      <c r="F27" s="6"/>
      <c r="G27" s="23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2:64" s="41" customFormat="1" ht="27" customHeight="1" x14ac:dyDescent="0.25">
      <c r="B28" s="71" t="s">
        <v>86</v>
      </c>
      <c r="C28" s="71"/>
      <c r="D28" s="44"/>
      <c r="E28" s="39"/>
      <c r="F28" s="46"/>
      <c r="G28" s="40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2:64" s="41" customFormat="1" ht="27" customHeight="1" x14ac:dyDescent="0.25">
      <c r="B29" s="50" t="s">
        <v>87</v>
      </c>
      <c r="C29" s="48" t="str">
        <f>IF(AB24=0,"Campeão",AB24)</f>
        <v>Campeão</v>
      </c>
      <c r="D29" s="45"/>
      <c r="F29" s="47"/>
      <c r="G29" s="42"/>
    </row>
    <row r="30" spans="2:64" s="41" customFormat="1" ht="27" customHeight="1" x14ac:dyDescent="0.25">
      <c r="B30" s="51" t="s">
        <v>88</v>
      </c>
      <c r="C30" s="49" t="str">
        <f>IF(AL24=0,"Vice",AL24)</f>
        <v>Vice</v>
      </c>
      <c r="D30" s="45"/>
      <c r="F30" s="47"/>
      <c r="G30" s="42"/>
    </row>
    <row r="31" spans="2:64" ht="24.75" x14ac:dyDescent="0.25">
      <c r="B31" s="52" t="s">
        <v>89</v>
      </c>
      <c r="C31" s="49" t="str">
        <f>IF(AB18=0,"Terceiro",AB18)</f>
        <v>Terceiro</v>
      </c>
      <c r="D31" s="45"/>
      <c r="E31" s="41"/>
      <c r="F31" s="47"/>
      <c r="G31" s="42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</row>
    <row r="39" spans="2:7" x14ac:dyDescent="0.25">
      <c r="B39" s="4"/>
      <c r="C39" s="4"/>
      <c r="G39" s="4"/>
    </row>
  </sheetData>
  <sheetProtection password="CC01" sheet="1" objects="1" scenarios="1" selectLockedCells="1"/>
  <mergeCells count="39">
    <mergeCell ref="T3:V3"/>
    <mergeCell ref="W3:Y3"/>
    <mergeCell ref="B10:Y10"/>
    <mergeCell ref="B17:Y17"/>
    <mergeCell ref="B2:Y2"/>
    <mergeCell ref="D3:F3"/>
    <mergeCell ref="H3:J3"/>
    <mergeCell ref="K3:M3"/>
    <mergeCell ref="N3:P3"/>
    <mergeCell ref="Q3:S3"/>
    <mergeCell ref="T11:V11"/>
    <mergeCell ref="W11:Y11"/>
    <mergeCell ref="AU2:AW2"/>
    <mergeCell ref="AX2:AZ2"/>
    <mergeCell ref="BA2:BF2"/>
    <mergeCell ref="BG2:BI2"/>
    <mergeCell ref="BJ2:BL2"/>
    <mergeCell ref="T18:V18"/>
    <mergeCell ref="W18:Y18"/>
    <mergeCell ref="D11:F11"/>
    <mergeCell ref="H11:J11"/>
    <mergeCell ref="K11:M11"/>
    <mergeCell ref="N11:P11"/>
    <mergeCell ref="Q11:S11"/>
    <mergeCell ref="D18:F18"/>
    <mergeCell ref="H18:J18"/>
    <mergeCell ref="K18:M18"/>
    <mergeCell ref="N18:P18"/>
    <mergeCell ref="Q18:S18"/>
    <mergeCell ref="W24:Y24"/>
    <mergeCell ref="B28:C28"/>
    <mergeCell ref="AU23:AV23"/>
    <mergeCell ref="D24:F24"/>
    <mergeCell ref="H24:J24"/>
    <mergeCell ref="K24:M24"/>
    <mergeCell ref="N24:P24"/>
    <mergeCell ref="Q24:S24"/>
    <mergeCell ref="T24:V24"/>
    <mergeCell ref="B23:Y23"/>
  </mergeCells>
  <conditionalFormatting sqref="T4:V7 T12:V13">
    <cfRule type="expression" dxfId="20" priority="68">
      <formula>$AA4&lt;5</formula>
    </cfRule>
  </conditionalFormatting>
  <conditionalFormatting sqref="Q4:S7 Q12:S13">
    <cfRule type="expression" dxfId="19" priority="67">
      <formula>$AA4&lt;4</formula>
    </cfRule>
  </conditionalFormatting>
  <conditionalFormatting sqref="N4:P7 N12:P13">
    <cfRule type="expression" dxfId="18" priority="66">
      <formula>$AA4&lt;3</formula>
    </cfRule>
  </conditionalFormatting>
  <conditionalFormatting sqref="K4:M7 K12:M13">
    <cfRule type="expression" dxfId="17" priority="65">
      <formula>$AA4&lt;2</formula>
    </cfRule>
  </conditionalFormatting>
  <conditionalFormatting sqref="H4:J7 W4:Y7 H12:J13 W12:Y13">
    <cfRule type="expression" dxfId="16" priority="64">
      <formula>$AA4=0</formula>
    </cfRule>
  </conditionalFormatting>
  <conditionalFormatting sqref="BM16:XFD16 BM21:XFD22 BM2:XFD10 BM12:XFD13 BM18:XFD18 BM24:XFD38 AU3:BL20 A1:XFD1 A2:AT13 A16:A18 Z16:AT18 B17:Y19 B22:Y27 A43:A1048576 Z43:XFD1048576 B44:Y1048576 B29:Y38 A21:A38 B28 Z21:AT38 D28:Y28">
    <cfRule type="cellIs" dxfId="15" priority="14" operator="equal">
      <formula>"Brasil"</formula>
    </cfRule>
  </conditionalFormatting>
  <conditionalFormatting sqref="BM11:XFD11">
    <cfRule type="cellIs" dxfId="14" priority="11" operator="equal">
      <formula>"Brasil"</formula>
    </cfRule>
  </conditionalFormatting>
  <conditionalFormatting sqref="BM17:XFD17">
    <cfRule type="cellIs" dxfId="13" priority="10" operator="equal">
      <formula>"Brasil"</formula>
    </cfRule>
  </conditionalFormatting>
  <conditionalFormatting sqref="BM23:XFD23">
    <cfRule type="cellIs" dxfId="12" priority="9" operator="equal">
      <formula>"Brasil"</formula>
    </cfRule>
  </conditionalFormatting>
  <conditionalFormatting sqref="AU2:BL2">
    <cfRule type="cellIs" dxfId="11" priority="5" operator="equal">
      <formula>"Brasil"</formula>
    </cfRule>
  </conditionalFormatting>
  <conditionalFormatting sqref="AV21:BL21">
    <cfRule type="cellIs" dxfId="10" priority="4" operator="equal">
      <formula>"Brasil"</formula>
    </cfRule>
  </conditionalFormatting>
  <conditionalFormatting sqref="AU21:BL21">
    <cfRule type="expression" dxfId="9" priority="1">
      <formula>$AX$22=216</formula>
    </cfRule>
  </conditionalFormatting>
  <conditionalFormatting sqref="T25:V25 T19:V19">
    <cfRule type="expression" dxfId="8" priority="86">
      <formula>$AA18&lt;5</formula>
    </cfRule>
  </conditionalFormatting>
  <conditionalFormatting sqref="Q25:S25 Q19:S19">
    <cfRule type="expression" dxfId="7" priority="88">
      <formula>$AA18&lt;4</formula>
    </cfRule>
  </conditionalFormatting>
  <conditionalFormatting sqref="N25:P25 N19:P19">
    <cfRule type="expression" dxfId="6" priority="90">
      <formula>$AA18&lt;3</formula>
    </cfRule>
  </conditionalFormatting>
  <conditionalFormatting sqref="K25:M25 K19:M19">
    <cfRule type="expression" dxfId="5" priority="92">
      <formula>$AA18&lt;2</formula>
    </cfRule>
  </conditionalFormatting>
  <conditionalFormatting sqref="W19:Y19 H25:J25 W25:Y25 H19:J19">
    <cfRule type="expression" dxfId="4" priority="94">
      <formula>$AA18=0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8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AU4:BL20</xm:sqref>
        </x14:conditionalFormatting>
        <x14:conditionalFormatting xmlns:xm="http://schemas.microsoft.com/office/excel/2006/main">
          <x14:cfRule type="expression" priority="2" id="{67DE61A7-195A-4B56-9920-F9056EC613BB}">
            <xm:f>$AV21=Dummy!$Z$1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3" id="{4BBF20C2-EE6F-4506-BB56-D1F5587D6B07}">
            <xm:f>OR(AND($AU21=Dummy!$Z$3,$AX$22=216),AND($AU21=Dummy!$Z$4,$AX$22=216),AND($AU21=Dummy!$Z$5,$AX$22=216),AND($AU21=Dummy!$Z$6,$AX$22=216),AND($AU21=Dummy!$Z$7,$AX$22=216),AND($AU21=Dummy!$Z$8,$AX$22=216),AND($AU21=Dummy!$Z$9,$AX$22=216),)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AU21:BL21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0F6A83-8A20-4128-AC08-526BDD0F4F5D}">
  <ds:schemaRefs>
    <ds:schemaRef ds:uri="dc8c2798-6aba-4af7-93a4-b89253b03650"/>
    <ds:schemaRef ds:uri="http://schemas.microsoft.com/office/2006/metadata/properties"/>
    <ds:schemaRef ds:uri="http://schemas.microsoft.com/office/2006/documentManagement/types"/>
    <ds:schemaRef ds:uri="2c8c20e6-817c-474f-b9c2-eb2b1ac24837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2025-06-23T16:53:01Z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