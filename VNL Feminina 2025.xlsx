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5EC07A5B-EDDE-44D4-A55C-733F1E398BE4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109" i="1" l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Y110" i="1" s="1"/>
  <c r="AX92" i="1"/>
  <c r="AW92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Y66" i="1" s="1"/>
  <c r="AX48" i="1"/>
  <c r="AW48" i="1"/>
  <c r="AY22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AX22" i="3"/>
  <c r="G12" i="3"/>
  <c r="G13" i="3"/>
  <c r="C13" i="3"/>
  <c r="AU132" i="1"/>
  <c r="AT132" i="1"/>
  <c r="AP132" i="1"/>
  <c r="AO132" i="1"/>
  <c r="AN132" i="1"/>
  <c r="AM132" i="1"/>
  <c r="AK132" i="1"/>
  <c r="AJ132" i="1"/>
  <c r="AF132" i="1"/>
  <c r="AE132" i="1"/>
  <c r="AD132" i="1"/>
  <c r="AC132" i="1"/>
  <c r="AU131" i="1"/>
  <c r="AT131" i="1"/>
  <c r="AS131" i="1"/>
  <c r="AP131" i="1"/>
  <c r="AO131" i="1"/>
  <c r="AQ131" i="1" s="1"/>
  <c r="AN131" i="1"/>
  <c r="AM131" i="1"/>
  <c r="AK131" i="1"/>
  <c r="AJ131" i="1"/>
  <c r="AF131" i="1"/>
  <c r="AE131" i="1"/>
  <c r="AD131" i="1"/>
  <c r="AC131" i="1"/>
  <c r="AU130" i="1"/>
  <c r="AT130" i="1"/>
  <c r="AP130" i="1"/>
  <c r="AO130" i="1"/>
  <c r="AN130" i="1"/>
  <c r="AM130" i="1"/>
  <c r="AK130" i="1"/>
  <c r="AJ130" i="1"/>
  <c r="AF130" i="1"/>
  <c r="AE130" i="1"/>
  <c r="AD130" i="1"/>
  <c r="AC130" i="1"/>
  <c r="AU129" i="1"/>
  <c r="AT129" i="1"/>
  <c r="AP129" i="1"/>
  <c r="AO129" i="1"/>
  <c r="AR129" i="1" s="1"/>
  <c r="AN129" i="1"/>
  <c r="AM129" i="1"/>
  <c r="AK129" i="1"/>
  <c r="AJ129" i="1"/>
  <c r="AF129" i="1"/>
  <c r="AE129" i="1"/>
  <c r="AD129" i="1"/>
  <c r="AC129" i="1"/>
  <c r="AU128" i="1"/>
  <c r="AT128" i="1"/>
  <c r="AP128" i="1"/>
  <c r="AO128" i="1"/>
  <c r="AS128" i="1" s="1"/>
  <c r="AN128" i="1"/>
  <c r="AM128" i="1"/>
  <c r="AK128" i="1"/>
  <c r="AJ128" i="1"/>
  <c r="AF128" i="1"/>
  <c r="AE128" i="1"/>
  <c r="AD128" i="1"/>
  <c r="AC128" i="1"/>
  <c r="AU127" i="1"/>
  <c r="AT127" i="1"/>
  <c r="AP127" i="1"/>
  <c r="AO127" i="1"/>
  <c r="AS127" i="1" s="1"/>
  <c r="AN127" i="1"/>
  <c r="AM127" i="1"/>
  <c r="AK127" i="1"/>
  <c r="AJ127" i="1"/>
  <c r="AF127" i="1"/>
  <c r="AE127" i="1"/>
  <c r="AG127" i="1" s="1"/>
  <c r="AD127" i="1"/>
  <c r="AC127" i="1"/>
  <c r="AU126" i="1"/>
  <c r="AT126" i="1"/>
  <c r="AP126" i="1"/>
  <c r="AO126" i="1"/>
  <c r="AN126" i="1"/>
  <c r="AM126" i="1"/>
  <c r="AK126" i="1"/>
  <c r="AJ126" i="1"/>
  <c r="AF126" i="1"/>
  <c r="AE126" i="1"/>
  <c r="AB126" i="1" s="1"/>
  <c r="AD126" i="1"/>
  <c r="AC126" i="1"/>
  <c r="AU125" i="1"/>
  <c r="AT125" i="1"/>
  <c r="AP125" i="1"/>
  <c r="AO125" i="1"/>
  <c r="AN125" i="1"/>
  <c r="AM125" i="1"/>
  <c r="AK125" i="1"/>
  <c r="AJ125" i="1"/>
  <c r="AF125" i="1"/>
  <c r="AE125" i="1"/>
  <c r="AI125" i="1" s="1"/>
  <c r="AD125" i="1"/>
  <c r="AC125" i="1"/>
  <c r="AU124" i="1"/>
  <c r="AT124" i="1"/>
  <c r="AP124" i="1"/>
  <c r="AO124" i="1"/>
  <c r="AQ124" i="1" s="1"/>
  <c r="AN124" i="1"/>
  <c r="AM124" i="1"/>
  <c r="AK124" i="1"/>
  <c r="AJ124" i="1"/>
  <c r="AF124" i="1"/>
  <c r="AE124" i="1"/>
  <c r="AD124" i="1"/>
  <c r="AC124" i="1"/>
  <c r="AU123" i="1"/>
  <c r="AT123" i="1"/>
  <c r="AP123" i="1"/>
  <c r="AO123" i="1"/>
  <c r="AS123" i="1" s="1"/>
  <c r="AN123" i="1"/>
  <c r="AM123" i="1"/>
  <c r="AK123" i="1"/>
  <c r="AJ123" i="1"/>
  <c r="AF123" i="1"/>
  <c r="AE123" i="1"/>
  <c r="AD123" i="1"/>
  <c r="AC123" i="1"/>
  <c r="AU122" i="1"/>
  <c r="AT122" i="1"/>
  <c r="AP122" i="1"/>
  <c r="AO122" i="1"/>
  <c r="AR122" i="1" s="1"/>
  <c r="AN122" i="1"/>
  <c r="AM122" i="1"/>
  <c r="AK122" i="1"/>
  <c r="AJ122" i="1"/>
  <c r="AF122" i="1"/>
  <c r="AE122" i="1"/>
  <c r="AB122" i="1" s="1"/>
  <c r="AD122" i="1"/>
  <c r="AC122" i="1"/>
  <c r="AU121" i="1"/>
  <c r="AT121" i="1"/>
  <c r="AP121" i="1"/>
  <c r="AO121" i="1"/>
  <c r="AS121" i="1" s="1"/>
  <c r="AN121" i="1"/>
  <c r="AM121" i="1"/>
  <c r="AK121" i="1"/>
  <c r="AJ121" i="1"/>
  <c r="AF121" i="1"/>
  <c r="AE121" i="1"/>
  <c r="AI121" i="1" s="1"/>
  <c r="AD121" i="1"/>
  <c r="AC121" i="1"/>
  <c r="AU118" i="1"/>
  <c r="AT118" i="1"/>
  <c r="AP118" i="1"/>
  <c r="AO118" i="1"/>
  <c r="AS118" i="1" s="1"/>
  <c r="AN118" i="1"/>
  <c r="AM118" i="1"/>
  <c r="AK118" i="1"/>
  <c r="AJ118" i="1"/>
  <c r="AI118" i="1"/>
  <c r="AG118" i="1"/>
  <c r="AF118" i="1"/>
  <c r="AE118" i="1"/>
  <c r="AH118" i="1" s="1"/>
  <c r="AD118" i="1"/>
  <c r="AC118" i="1"/>
  <c r="AB118" i="1"/>
  <c r="AU117" i="1"/>
  <c r="AT117" i="1"/>
  <c r="AS117" i="1"/>
  <c r="AR117" i="1"/>
  <c r="AQ117" i="1"/>
  <c r="AP117" i="1"/>
  <c r="AO117" i="1"/>
  <c r="AN117" i="1"/>
  <c r="AM117" i="1"/>
  <c r="AK117" i="1"/>
  <c r="AJ117" i="1"/>
  <c r="AF117" i="1"/>
  <c r="AE117" i="1"/>
  <c r="AB117" i="1" s="1"/>
  <c r="AD117" i="1"/>
  <c r="AC117" i="1"/>
  <c r="AU116" i="1"/>
  <c r="AT116" i="1"/>
  <c r="AP116" i="1"/>
  <c r="AO116" i="1"/>
  <c r="AS116" i="1" s="1"/>
  <c r="AN116" i="1"/>
  <c r="AM116" i="1"/>
  <c r="AK116" i="1"/>
  <c r="AJ116" i="1"/>
  <c r="AF116" i="1"/>
  <c r="AE116" i="1"/>
  <c r="AI116" i="1" s="1"/>
  <c r="AD116" i="1"/>
  <c r="AC116" i="1"/>
  <c r="AB116" i="1"/>
  <c r="AU115" i="1"/>
  <c r="AT115" i="1"/>
  <c r="AS115" i="1"/>
  <c r="AP115" i="1"/>
  <c r="AQ115" i="1" s="1"/>
  <c r="AO115" i="1"/>
  <c r="AR115" i="1" s="1"/>
  <c r="AN115" i="1"/>
  <c r="AM115" i="1"/>
  <c r="AK115" i="1"/>
  <c r="AJ115" i="1"/>
  <c r="AF115" i="1"/>
  <c r="AI115" i="1" s="1"/>
  <c r="AE115" i="1"/>
  <c r="AB115" i="1" s="1"/>
  <c r="AD115" i="1"/>
  <c r="AC115" i="1"/>
  <c r="AU114" i="1"/>
  <c r="AT114" i="1"/>
  <c r="AP114" i="1"/>
  <c r="AO114" i="1"/>
  <c r="AS114" i="1" s="1"/>
  <c r="AN114" i="1"/>
  <c r="AM114" i="1"/>
  <c r="AK114" i="1"/>
  <c r="AJ114" i="1"/>
  <c r="AG114" i="1"/>
  <c r="AF114" i="1"/>
  <c r="AE114" i="1"/>
  <c r="AI114" i="1" s="1"/>
  <c r="AD114" i="1"/>
  <c r="AC114" i="1"/>
  <c r="AB114" i="1"/>
  <c r="AU113" i="1"/>
  <c r="AT113" i="1"/>
  <c r="AP113" i="1"/>
  <c r="AO113" i="1"/>
  <c r="AS113" i="1" s="1"/>
  <c r="AN113" i="1"/>
  <c r="AM113" i="1"/>
  <c r="AK113" i="1"/>
  <c r="AJ113" i="1"/>
  <c r="AI113" i="1"/>
  <c r="AH113" i="1"/>
  <c r="AF113" i="1"/>
  <c r="AE113" i="1"/>
  <c r="AG113" i="1" s="1"/>
  <c r="AD113" i="1"/>
  <c r="AC113" i="1"/>
  <c r="AB113" i="1"/>
  <c r="AU112" i="1"/>
  <c r="AT112" i="1"/>
  <c r="AP112" i="1"/>
  <c r="AS112" i="1" s="1"/>
  <c r="AO112" i="1"/>
  <c r="AN112" i="1"/>
  <c r="AM112" i="1"/>
  <c r="AK112" i="1"/>
  <c r="AJ112" i="1"/>
  <c r="AF112" i="1"/>
  <c r="AE112" i="1"/>
  <c r="AB112" i="1" s="1"/>
  <c r="AD112" i="1"/>
  <c r="AC112" i="1"/>
  <c r="AU111" i="1"/>
  <c r="AT111" i="1"/>
  <c r="AQ111" i="1"/>
  <c r="AP111" i="1"/>
  <c r="AO111" i="1"/>
  <c r="AS111" i="1" s="1"/>
  <c r="AN111" i="1"/>
  <c r="AM111" i="1"/>
  <c r="AK111" i="1"/>
  <c r="AJ111" i="1"/>
  <c r="AH111" i="1"/>
  <c r="AG111" i="1"/>
  <c r="AF111" i="1"/>
  <c r="AE111" i="1"/>
  <c r="AI111" i="1" s="1"/>
  <c r="AD111" i="1"/>
  <c r="AC111" i="1"/>
  <c r="AB111" i="1"/>
  <c r="AU110" i="1"/>
  <c r="AT110" i="1"/>
  <c r="AS110" i="1"/>
  <c r="AR110" i="1"/>
  <c r="AP110" i="1"/>
  <c r="AO110" i="1"/>
  <c r="AQ110" i="1" s="1"/>
  <c r="AN110" i="1"/>
  <c r="AM110" i="1"/>
  <c r="AK110" i="1"/>
  <c r="AJ110" i="1"/>
  <c r="AF110" i="1"/>
  <c r="AE110" i="1"/>
  <c r="AB110" i="1" s="1"/>
  <c r="AD110" i="1"/>
  <c r="AC110" i="1"/>
  <c r="AU109" i="1"/>
  <c r="AT109" i="1"/>
  <c r="AP109" i="1"/>
  <c r="AO109" i="1"/>
  <c r="AS109" i="1" s="1"/>
  <c r="AN109" i="1"/>
  <c r="AM109" i="1"/>
  <c r="AK109" i="1"/>
  <c r="AJ109" i="1"/>
  <c r="AF109" i="1"/>
  <c r="AE109" i="1"/>
  <c r="AI109" i="1" s="1"/>
  <c r="AD109" i="1"/>
  <c r="AC109" i="1"/>
  <c r="AB109" i="1"/>
  <c r="AU108" i="1"/>
  <c r="AT108" i="1"/>
  <c r="AR108" i="1"/>
  <c r="AQ108" i="1"/>
  <c r="AP108" i="1"/>
  <c r="AO108" i="1"/>
  <c r="AS108" i="1" s="1"/>
  <c r="AN108" i="1"/>
  <c r="AM108" i="1"/>
  <c r="AK108" i="1"/>
  <c r="AJ108" i="1"/>
  <c r="AI108" i="1"/>
  <c r="AH108" i="1"/>
  <c r="AG108" i="1"/>
  <c r="AF108" i="1"/>
  <c r="AE108" i="1"/>
  <c r="AB108" i="1" s="1"/>
  <c r="AD108" i="1"/>
  <c r="AC108" i="1"/>
  <c r="AU107" i="1"/>
  <c r="AT107" i="1"/>
  <c r="AP107" i="1"/>
  <c r="AO107" i="1"/>
  <c r="AS107" i="1" s="1"/>
  <c r="AN107" i="1"/>
  <c r="AM107" i="1"/>
  <c r="AK107" i="1"/>
  <c r="AJ107" i="1"/>
  <c r="AF107" i="1"/>
  <c r="AE107" i="1"/>
  <c r="AI107" i="1" s="1"/>
  <c r="AD107" i="1"/>
  <c r="AC107" i="1"/>
  <c r="AB107" i="1"/>
  <c r="AU104" i="1"/>
  <c r="AT104" i="1"/>
  <c r="AP104" i="1"/>
  <c r="AO104" i="1"/>
  <c r="AS104" i="1" s="1"/>
  <c r="AN104" i="1"/>
  <c r="AM104" i="1"/>
  <c r="AK104" i="1"/>
  <c r="AJ104" i="1"/>
  <c r="AI104" i="1"/>
  <c r="AF104" i="1"/>
  <c r="AH104" i="1" s="1"/>
  <c r="AE104" i="1"/>
  <c r="AD104" i="1"/>
  <c r="AC104" i="1"/>
  <c r="AU103" i="1"/>
  <c r="AT103" i="1"/>
  <c r="AS103" i="1"/>
  <c r="AR103" i="1"/>
  <c r="AQ103" i="1"/>
  <c r="AP103" i="1"/>
  <c r="AO103" i="1"/>
  <c r="AN103" i="1"/>
  <c r="AM103" i="1"/>
  <c r="AK103" i="1"/>
  <c r="AJ103" i="1"/>
  <c r="AF103" i="1"/>
  <c r="AE103" i="1"/>
  <c r="AB103" i="1" s="1"/>
  <c r="AD103" i="1"/>
  <c r="AC103" i="1"/>
  <c r="AU102" i="1"/>
  <c r="AT102" i="1"/>
  <c r="AP102" i="1"/>
  <c r="AO102" i="1"/>
  <c r="AS102" i="1" s="1"/>
  <c r="AN102" i="1"/>
  <c r="AM102" i="1"/>
  <c r="AK102" i="1"/>
  <c r="AJ102" i="1"/>
  <c r="AF102" i="1"/>
  <c r="AE102" i="1"/>
  <c r="AI102" i="1" s="1"/>
  <c r="AD102" i="1"/>
  <c r="AC102" i="1"/>
  <c r="AB102" i="1"/>
  <c r="AU101" i="1"/>
  <c r="AT101" i="1"/>
  <c r="AS101" i="1"/>
  <c r="AP101" i="1"/>
  <c r="AR101" i="1" s="1"/>
  <c r="AO101" i="1"/>
  <c r="AN101" i="1"/>
  <c r="AM101" i="1"/>
  <c r="AK101" i="1"/>
  <c r="AJ101" i="1"/>
  <c r="AF101" i="1"/>
  <c r="AH101" i="1" s="1"/>
  <c r="AE101" i="1"/>
  <c r="AB101" i="1" s="1"/>
  <c r="AD101" i="1"/>
  <c r="AC101" i="1"/>
  <c r="AU100" i="1"/>
  <c r="AT100" i="1"/>
  <c r="AP100" i="1"/>
  <c r="AO100" i="1"/>
  <c r="AS100" i="1" s="1"/>
  <c r="AN100" i="1"/>
  <c r="AM100" i="1"/>
  <c r="AK100" i="1"/>
  <c r="AJ100" i="1"/>
  <c r="AF100" i="1"/>
  <c r="AE100" i="1"/>
  <c r="AI100" i="1" s="1"/>
  <c r="AD100" i="1"/>
  <c r="AC100" i="1"/>
  <c r="AB100" i="1"/>
  <c r="AU99" i="1"/>
  <c r="AT99" i="1"/>
  <c r="AR99" i="1"/>
  <c r="AP99" i="1"/>
  <c r="AO99" i="1"/>
  <c r="AS99" i="1" s="1"/>
  <c r="AN99" i="1"/>
  <c r="AM99" i="1"/>
  <c r="AK99" i="1"/>
  <c r="AJ99" i="1"/>
  <c r="AI99" i="1"/>
  <c r="AH99" i="1"/>
  <c r="AF99" i="1"/>
  <c r="AE99" i="1"/>
  <c r="AG99" i="1" s="1"/>
  <c r="AD99" i="1"/>
  <c r="AC99" i="1"/>
  <c r="AU98" i="1"/>
  <c r="AT98" i="1"/>
  <c r="AP98" i="1"/>
  <c r="AR98" i="1" s="1"/>
  <c r="AO98" i="1"/>
  <c r="AS98" i="1" s="1"/>
  <c r="AN98" i="1"/>
  <c r="AM98" i="1"/>
  <c r="AK98" i="1"/>
  <c r="AJ98" i="1"/>
  <c r="AF98" i="1"/>
  <c r="AE98" i="1"/>
  <c r="AB98" i="1" s="1"/>
  <c r="AD98" i="1"/>
  <c r="AC98" i="1"/>
  <c r="AU97" i="1"/>
  <c r="AT97" i="1"/>
  <c r="AP97" i="1"/>
  <c r="AO97" i="1"/>
  <c r="AS97" i="1" s="1"/>
  <c r="AN97" i="1"/>
  <c r="AM97" i="1"/>
  <c r="AK97" i="1"/>
  <c r="AJ97" i="1"/>
  <c r="AI97" i="1"/>
  <c r="AH97" i="1"/>
  <c r="AG97" i="1"/>
  <c r="AF97" i="1"/>
  <c r="AE97" i="1"/>
  <c r="AD97" i="1"/>
  <c r="AC97" i="1"/>
  <c r="AB97" i="1"/>
  <c r="AU96" i="1"/>
  <c r="AT96" i="1"/>
  <c r="AS96" i="1"/>
  <c r="AR96" i="1"/>
  <c r="AP96" i="1"/>
  <c r="AO96" i="1"/>
  <c r="AQ96" i="1" s="1"/>
  <c r="AN96" i="1"/>
  <c r="AM96" i="1"/>
  <c r="AK96" i="1"/>
  <c r="AJ96" i="1"/>
  <c r="AF96" i="1"/>
  <c r="AE96" i="1"/>
  <c r="AB96" i="1" s="1"/>
  <c r="AD96" i="1"/>
  <c r="AC96" i="1"/>
  <c r="AU95" i="1"/>
  <c r="AT95" i="1"/>
  <c r="AP95" i="1"/>
  <c r="AO95" i="1"/>
  <c r="AS95" i="1" s="1"/>
  <c r="AN95" i="1"/>
  <c r="AM95" i="1"/>
  <c r="AK95" i="1"/>
  <c r="AJ95" i="1"/>
  <c r="AF95" i="1"/>
  <c r="AE95" i="1"/>
  <c r="AI95" i="1" s="1"/>
  <c r="AD95" i="1"/>
  <c r="AC95" i="1"/>
  <c r="AB95" i="1"/>
  <c r="AU94" i="1"/>
  <c r="AT94" i="1"/>
  <c r="AS94" i="1"/>
  <c r="AR94" i="1"/>
  <c r="AQ94" i="1"/>
  <c r="AP94" i="1"/>
  <c r="AO94" i="1"/>
  <c r="AN94" i="1"/>
  <c r="AM94" i="1"/>
  <c r="AK94" i="1"/>
  <c r="AJ94" i="1"/>
  <c r="AH94" i="1"/>
  <c r="AG94" i="1"/>
  <c r="AF94" i="1"/>
  <c r="AE94" i="1"/>
  <c r="AB94" i="1" s="1"/>
  <c r="AD94" i="1"/>
  <c r="AC94" i="1"/>
  <c r="AU93" i="1"/>
  <c r="AT93" i="1"/>
  <c r="AP93" i="1"/>
  <c r="AO93" i="1"/>
  <c r="AS93" i="1" s="1"/>
  <c r="AN93" i="1"/>
  <c r="AM93" i="1"/>
  <c r="AK93" i="1"/>
  <c r="AJ93" i="1"/>
  <c r="AF93" i="1"/>
  <c r="AG93" i="1" s="1"/>
  <c r="AE93" i="1"/>
  <c r="AI93" i="1" s="1"/>
  <c r="AD93" i="1"/>
  <c r="AC93" i="1"/>
  <c r="AB93" i="1"/>
  <c r="AU88" i="1"/>
  <c r="AT88" i="1"/>
  <c r="AP88" i="1"/>
  <c r="AO88" i="1"/>
  <c r="AS88" i="1" s="1"/>
  <c r="AN88" i="1"/>
  <c r="AM88" i="1"/>
  <c r="AK88" i="1"/>
  <c r="AJ88" i="1"/>
  <c r="AI88" i="1"/>
  <c r="AH88" i="1"/>
  <c r="AG88" i="1"/>
  <c r="AF88" i="1"/>
  <c r="AE88" i="1"/>
  <c r="AD88" i="1"/>
  <c r="AC88" i="1"/>
  <c r="AB88" i="1"/>
  <c r="AU87" i="1"/>
  <c r="AT87" i="1"/>
  <c r="AR87" i="1"/>
  <c r="AQ87" i="1"/>
  <c r="AP87" i="1"/>
  <c r="AO87" i="1"/>
  <c r="AS87" i="1" s="1"/>
  <c r="AN87" i="1"/>
  <c r="AM87" i="1"/>
  <c r="AK87" i="1"/>
  <c r="AJ87" i="1"/>
  <c r="AF87" i="1"/>
  <c r="AE87" i="1"/>
  <c r="AB87" i="1" s="1"/>
  <c r="AD87" i="1"/>
  <c r="AC87" i="1"/>
  <c r="AU86" i="1"/>
  <c r="AT86" i="1"/>
  <c r="AP86" i="1"/>
  <c r="AR86" i="1" s="1"/>
  <c r="AO86" i="1"/>
  <c r="AS86" i="1" s="1"/>
  <c r="AN86" i="1"/>
  <c r="AM86" i="1"/>
  <c r="AK86" i="1"/>
  <c r="AJ86" i="1"/>
  <c r="AF86" i="1"/>
  <c r="AE86" i="1"/>
  <c r="AI86" i="1" s="1"/>
  <c r="AD86" i="1"/>
  <c r="AC86" i="1"/>
  <c r="AU85" i="1"/>
  <c r="AT85" i="1"/>
  <c r="AS85" i="1"/>
  <c r="AR85" i="1"/>
  <c r="AQ85" i="1"/>
  <c r="AP85" i="1"/>
  <c r="AO85" i="1"/>
  <c r="AN85" i="1"/>
  <c r="AM85" i="1"/>
  <c r="AK85" i="1"/>
  <c r="AJ85" i="1"/>
  <c r="AF85" i="1"/>
  <c r="AG85" i="1" s="1"/>
  <c r="AE85" i="1"/>
  <c r="AB85" i="1" s="1"/>
  <c r="AD85" i="1"/>
  <c r="AC85" i="1"/>
  <c r="AU84" i="1"/>
  <c r="AT84" i="1"/>
  <c r="AP84" i="1"/>
  <c r="AO84" i="1"/>
  <c r="AS84" i="1" s="1"/>
  <c r="AN84" i="1"/>
  <c r="AM84" i="1"/>
  <c r="AK84" i="1"/>
  <c r="AJ84" i="1"/>
  <c r="AG84" i="1"/>
  <c r="AF84" i="1"/>
  <c r="AE84" i="1"/>
  <c r="AI84" i="1" s="1"/>
  <c r="AD84" i="1"/>
  <c r="AC84" i="1"/>
  <c r="AB84" i="1"/>
  <c r="AU83" i="1"/>
  <c r="AT83" i="1"/>
  <c r="AP83" i="1"/>
  <c r="AO83" i="1"/>
  <c r="AS83" i="1" s="1"/>
  <c r="AN83" i="1"/>
  <c r="AM83" i="1"/>
  <c r="AK83" i="1"/>
  <c r="AJ83" i="1"/>
  <c r="AI83" i="1"/>
  <c r="AH83" i="1"/>
  <c r="AG83" i="1"/>
  <c r="AF83" i="1"/>
  <c r="AE83" i="1"/>
  <c r="AD83" i="1"/>
  <c r="AC83" i="1"/>
  <c r="AB83" i="1"/>
  <c r="AU82" i="1"/>
  <c r="AT82" i="1"/>
  <c r="AP82" i="1"/>
  <c r="AQ82" i="1" s="1"/>
  <c r="AO82" i="1"/>
  <c r="AS82" i="1" s="1"/>
  <c r="AN82" i="1"/>
  <c r="AM82" i="1"/>
  <c r="AK82" i="1"/>
  <c r="AJ82" i="1"/>
  <c r="AI82" i="1"/>
  <c r="AF82" i="1"/>
  <c r="AE82" i="1"/>
  <c r="AH82" i="1" s="1"/>
  <c r="AD82" i="1"/>
  <c r="AC82" i="1"/>
  <c r="AB82" i="1"/>
  <c r="AU81" i="1"/>
  <c r="AT81" i="1"/>
  <c r="AQ81" i="1"/>
  <c r="AP81" i="1"/>
  <c r="AO81" i="1"/>
  <c r="AS81" i="1" s="1"/>
  <c r="AN81" i="1"/>
  <c r="AM81" i="1"/>
  <c r="AK81" i="1"/>
  <c r="AJ81" i="1"/>
  <c r="AI81" i="1"/>
  <c r="AF81" i="1"/>
  <c r="AE81" i="1"/>
  <c r="AH81" i="1" s="1"/>
  <c r="AD81" i="1"/>
  <c r="AC81" i="1"/>
  <c r="AU80" i="1"/>
  <c r="AT80" i="1"/>
  <c r="AS80" i="1"/>
  <c r="AR80" i="1"/>
  <c r="AQ80" i="1"/>
  <c r="AP80" i="1"/>
  <c r="AO80" i="1"/>
  <c r="AN80" i="1"/>
  <c r="AM80" i="1"/>
  <c r="AK80" i="1"/>
  <c r="AJ80" i="1"/>
  <c r="AF80" i="1"/>
  <c r="AE80" i="1"/>
  <c r="AB80" i="1" s="1"/>
  <c r="AD80" i="1"/>
  <c r="AC80" i="1"/>
  <c r="AU79" i="1"/>
  <c r="AT79" i="1"/>
  <c r="AP79" i="1"/>
  <c r="AO79" i="1"/>
  <c r="AS79" i="1" s="1"/>
  <c r="AN79" i="1"/>
  <c r="AM79" i="1"/>
  <c r="AK79" i="1"/>
  <c r="AJ79" i="1"/>
  <c r="AF79" i="1"/>
  <c r="AE79" i="1"/>
  <c r="AI79" i="1" s="1"/>
  <c r="AD79" i="1"/>
  <c r="AC79" i="1"/>
  <c r="AB79" i="1"/>
  <c r="AU78" i="1"/>
  <c r="AT78" i="1"/>
  <c r="AP78" i="1"/>
  <c r="AS78" i="1" s="1"/>
  <c r="AO78" i="1"/>
  <c r="AR78" i="1" s="1"/>
  <c r="AN78" i="1"/>
  <c r="AM78" i="1"/>
  <c r="AK78" i="1"/>
  <c r="AJ78" i="1"/>
  <c r="AI78" i="1"/>
  <c r="AH78" i="1"/>
  <c r="AG78" i="1"/>
  <c r="AF78" i="1"/>
  <c r="AE78" i="1"/>
  <c r="AB78" i="1" s="1"/>
  <c r="AD78" i="1"/>
  <c r="AC78" i="1"/>
  <c r="AU77" i="1"/>
  <c r="AT77" i="1"/>
  <c r="AP77" i="1"/>
  <c r="AO77" i="1"/>
  <c r="AS77" i="1" s="1"/>
  <c r="AN77" i="1"/>
  <c r="AM77" i="1"/>
  <c r="AK77" i="1"/>
  <c r="AJ77" i="1"/>
  <c r="AH77" i="1"/>
  <c r="AG77" i="1"/>
  <c r="AF77" i="1"/>
  <c r="AE77" i="1"/>
  <c r="AI77" i="1" s="1"/>
  <c r="AD77" i="1"/>
  <c r="AC77" i="1"/>
  <c r="AB77" i="1"/>
  <c r="AU74" i="1"/>
  <c r="AT74" i="1"/>
  <c r="AP74" i="1"/>
  <c r="AO74" i="1"/>
  <c r="AS74" i="1" s="1"/>
  <c r="AN74" i="1"/>
  <c r="AM74" i="1"/>
  <c r="AK74" i="1"/>
  <c r="AJ74" i="1"/>
  <c r="AI74" i="1"/>
  <c r="AF74" i="1"/>
  <c r="AE74" i="1"/>
  <c r="AH74" i="1" s="1"/>
  <c r="AD74" i="1"/>
  <c r="AC74" i="1"/>
  <c r="AU73" i="1"/>
  <c r="AT73" i="1"/>
  <c r="AS73" i="1"/>
  <c r="AR73" i="1"/>
  <c r="AQ73" i="1"/>
  <c r="AP73" i="1"/>
  <c r="AO73" i="1"/>
  <c r="AN73" i="1"/>
  <c r="AM73" i="1"/>
  <c r="AK73" i="1"/>
  <c r="AJ73" i="1"/>
  <c r="AF73" i="1"/>
  <c r="AE73" i="1"/>
  <c r="AB73" i="1" s="1"/>
  <c r="AD73" i="1"/>
  <c r="AC73" i="1"/>
  <c r="AU72" i="1"/>
  <c r="AT72" i="1"/>
  <c r="AR72" i="1"/>
  <c r="AQ72" i="1"/>
  <c r="AP72" i="1"/>
  <c r="AO72" i="1"/>
  <c r="AS72" i="1" s="1"/>
  <c r="AN72" i="1"/>
  <c r="AM72" i="1"/>
  <c r="AK72" i="1"/>
  <c r="AJ72" i="1"/>
  <c r="AG72" i="1"/>
  <c r="AF72" i="1"/>
  <c r="AE72" i="1"/>
  <c r="AI72" i="1" s="1"/>
  <c r="AD72" i="1"/>
  <c r="AC72" i="1"/>
  <c r="AU71" i="1"/>
  <c r="AT71" i="1"/>
  <c r="AS71" i="1"/>
  <c r="AP71" i="1"/>
  <c r="AO71" i="1"/>
  <c r="AR71" i="1" s="1"/>
  <c r="AN71" i="1"/>
  <c r="AM71" i="1"/>
  <c r="AK71" i="1"/>
  <c r="AJ71" i="1"/>
  <c r="AF71" i="1"/>
  <c r="AB71" i="1" s="1"/>
  <c r="AE71" i="1"/>
  <c r="AI71" i="1" s="1"/>
  <c r="AD71" i="1"/>
  <c r="AC71" i="1"/>
  <c r="AU70" i="1"/>
  <c r="AT70" i="1"/>
  <c r="AP70" i="1"/>
  <c r="AO70" i="1"/>
  <c r="AS70" i="1" s="1"/>
  <c r="AN70" i="1"/>
  <c r="AM70" i="1"/>
  <c r="AK70" i="1"/>
  <c r="AJ70" i="1"/>
  <c r="AI70" i="1"/>
  <c r="AF70" i="1"/>
  <c r="AG70" i="1" s="1"/>
  <c r="AE70" i="1"/>
  <c r="AH70" i="1" s="1"/>
  <c r="AD70" i="1"/>
  <c r="AC70" i="1"/>
  <c r="AB70" i="1"/>
  <c r="AU69" i="1"/>
  <c r="AT69" i="1"/>
  <c r="AQ69" i="1"/>
  <c r="AP69" i="1"/>
  <c r="AO69" i="1"/>
  <c r="AS69" i="1" s="1"/>
  <c r="AN69" i="1"/>
  <c r="AM69" i="1"/>
  <c r="AK69" i="1"/>
  <c r="AJ69" i="1"/>
  <c r="AI69" i="1"/>
  <c r="AH69" i="1"/>
  <c r="AG69" i="1"/>
  <c r="AF69" i="1"/>
  <c r="AE69" i="1"/>
  <c r="AD69" i="1"/>
  <c r="AC69" i="1"/>
  <c r="AB69" i="1"/>
  <c r="AU68" i="1"/>
  <c r="AT68" i="1"/>
  <c r="AP68" i="1"/>
  <c r="AR68" i="1" s="1"/>
  <c r="AO68" i="1"/>
  <c r="AS68" i="1" s="1"/>
  <c r="AN68" i="1"/>
  <c r="AM68" i="1"/>
  <c r="AK68" i="1"/>
  <c r="AJ68" i="1"/>
  <c r="AF68" i="1"/>
  <c r="AE68" i="1"/>
  <c r="AB68" i="1" s="1"/>
  <c r="AD68" i="1"/>
  <c r="AC68" i="1"/>
  <c r="AU67" i="1"/>
  <c r="AT67" i="1"/>
  <c r="AS67" i="1"/>
  <c r="AP67" i="1"/>
  <c r="AQ67" i="1" s="1"/>
  <c r="AO67" i="1"/>
  <c r="AR67" i="1" s="1"/>
  <c r="AN67" i="1"/>
  <c r="AM67" i="1"/>
  <c r="AK67" i="1"/>
  <c r="AJ67" i="1"/>
  <c r="AF67" i="1"/>
  <c r="AE67" i="1"/>
  <c r="AI67" i="1" s="1"/>
  <c r="AD67" i="1"/>
  <c r="AC67" i="1"/>
  <c r="AU66" i="1"/>
  <c r="AT66" i="1"/>
  <c r="AS66" i="1"/>
  <c r="AR66" i="1"/>
  <c r="AP66" i="1"/>
  <c r="AO66" i="1"/>
  <c r="AQ66" i="1" s="1"/>
  <c r="AN66" i="1"/>
  <c r="AM66" i="1"/>
  <c r="AK66" i="1"/>
  <c r="AJ66" i="1"/>
  <c r="AF66" i="1"/>
  <c r="AE66" i="1"/>
  <c r="AB66" i="1" s="1"/>
  <c r="AD66" i="1"/>
  <c r="AC66" i="1"/>
  <c r="AU65" i="1"/>
  <c r="AT65" i="1"/>
  <c r="AP65" i="1"/>
  <c r="AO65" i="1"/>
  <c r="AS65" i="1" s="1"/>
  <c r="AN65" i="1"/>
  <c r="AM65" i="1"/>
  <c r="AK65" i="1"/>
  <c r="AJ65" i="1"/>
  <c r="AH65" i="1"/>
  <c r="AF65" i="1"/>
  <c r="AE65" i="1"/>
  <c r="AI65" i="1" s="1"/>
  <c r="AD65" i="1"/>
  <c r="AC65" i="1"/>
  <c r="AU64" i="1"/>
  <c r="AT64" i="1"/>
  <c r="AP64" i="1"/>
  <c r="AO64" i="1"/>
  <c r="AS64" i="1" s="1"/>
  <c r="AN64" i="1"/>
  <c r="AM64" i="1"/>
  <c r="AK64" i="1"/>
  <c r="AJ64" i="1"/>
  <c r="AH64" i="1"/>
  <c r="AG64" i="1"/>
  <c r="AF64" i="1"/>
  <c r="AE64" i="1"/>
  <c r="AI64" i="1" s="1"/>
  <c r="AD64" i="1"/>
  <c r="AC64" i="1"/>
  <c r="AB64" i="1"/>
  <c r="AU63" i="1"/>
  <c r="AT63" i="1"/>
  <c r="AP63" i="1"/>
  <c r="AO63" i="1"/>
  <c r="AS63" i="1" s="1"/>
  <c r="AN63" i="1"/>
  <c r="AM63" i="1"/>
  <c r="AK63" i="1"/>
  <c r="AJ63" i="1"/>
  <c r="AI63" i="1"/>
  <c r="AH63" i="1"/>
  <c r="AG63" i="1"/>
  <c r="AF63" i="1"/>
  <c r="AE63" i="1"/>
  <c r="AD63" i="1"/>
  <c r="AC63" i="1"/>
  <c r="AB63" i="1"/>
  <c r="AU60" i="1"/>
  <c r="AT60" i="1"/>
  <c r="AP60" i="1"/>
  <c r="AO60" i="1"/>
  <c r="AN60" i="1"/>
  <c r="AM60" i="1"/>
  <c r="AK60" i="1"/>
  <c r="AJ60" i="1"/>
  <c r="AF60" i="1"/>
  <c r="AE60" i="1"/>
  <c r="AH60" i="1" s="1"/>
  <c r="AD60" i="1"/>
  <c r="AC60" i="1"/>
  <c r="AU59" i="1"/>
  <c r="AT59" i="1"/>
  <c r="AR59" i="1"/>
  <c r="AP59" i="1"/>
  <c r="AO59" i="1"/>
  <c r="AS59" i="1" s="1"/>
  <c r="AN59" i="1"/>
  <c r="AM59" i="1"/>
  <c r="AK59" i="1"/>
  <c r="AJ59" i="1"/>
  <c r="AF59" i="1"/>
  <c r="AE59" i="1"/>
  <c r="AD59" i="1"/>
  <c r="AC59" i="1"/>
  <c r="AU58" i="1"/>
  <c r="AT58" i="1"/>
  <c r="AP58" i="1"/>
  <c r="AO58" i="1"/>
  <c r="AN58" i="1"/>
  <c r="AM58" i="1"/>
  <c r="AK58" i="1"/>
  <c r="AJ58" i="1"/>
  <c r="AF58" i="1"/>
  <c r="AE58" i="1"/>
  <c r="AD58" i="1"/>
  <c r="AC58" i="1"/>
  <c r="AU57" i="1"/>
  <c r="AT57" i="1"/>
  <c r="AP57" i="1"/>
  <c r="AO57" i="1"/>
  <c r="AN57" i="1"/>
  <c r="AM57" i="1"/>
  <c r="AK57" i="1"/>
  <c r="AJ57" i="1"/>
  <c r="AF57" i="1"/>
  <c r="AE57" i="1"/>
  <c r="AH57" i="1" s="1"/>
  <c r="AD57" i="1"/>
  <c r="AC57" i="1"/>
  <c r="AU56" i="1"/>
  <c r="AT56" i="1"/>
  <c r="AP56" i="1"/>
  <c r="AO56" i="1"/>
  <c r="AN56" i="1"/>
  <c r="AM56" i="1"/>
  <c r="AK56" i="1"/>
  <c r="AJ56" i="1"/>
  <c r="AF56" i="1"/>
  <c r="AH56" i="1" s="1"/>
  <c r="AE56" i="1"/>
  <c r="AD56" i="1"/>
  <c r="AC56" i="1"/>
  <c r="AU55" i="1"/>
  <c r="AT55" i="1"/>
  <c r="AP55" i="1"/>
  <c r="AO55" i="1"/>
  <c r="AS55" i="1" s="1"/>
  <c r="AN55" i="1"/>
  <c r="AM55" i="1"/>
  <c r="AK55" i="1"/>
  <c r="AJ55" i="1"/>
  <c r="AF55" i="1"/>
  <c r="AE55" i="1"/>
  <c r="AD55" i="1"/>
  <c r="AC55" i="1"/>
  <c r="AB55" i="1"/>
  <c r="AU54" i="1"/>
  <c r="AT54" i="1"/>
  <c r="AP54" i="1"/>
  <c r="AO54" i="1"/>
  <c r="AN54" i="1"/>
  <c r="AM54" i="1"/>
  <c r="AK54" i="1"/>
  <c r="AJ54" i="1"/>
  <c r="AF54" i="1"/>
  <c r="AE54" i="1"/>
  <c r="AD54" i="1"/>
  <c r="AC54" i="1"/>
  <c r="AB54" i="1"/>
  <c r="AU53" i="1"/>
  <c r="AT53" i="1"/>
  <c r="AP53" i="1"/>
  <c r="AO53" i="1"/>
  <c r="AN53" i="1"/>
  <c r="AM53" i="1"/>
  <c r="AK53" i="1"/>
  <c r="AJ53" i="1"/>
  <c r="AF53" i="1"/>
  <c r="AE53" i="1"/>
  <c r="AD53" i="1"/>
  <c r="AC53" i="1"/>
  <c r="AU52" i="1"/>
  <c r="AT52" i="1"/>
  <c r="AP52" i="1"/>
  <c r="AO52" i="1"/>
  <c r="AN52" i="1"/>
  <c r="AM52" i="1"/>
  <c r="AK52" i="1"/>
  <c r="AJ52" i="1"/>
  <c r="AF52" i="1"/>
  <c r="AE52" i="1"/>
  <c r="AD52" i="1"/>
  <c r="AC52" i="1"/>
  <c r="AU51" i="1"/>
  <c r="AT51" i="1"/>
  <c r="AP51" i="1"/>
  <c r="AO51" i="1"/>
  <c r="AR51" i="1" s="1"/>
  <c r="AN51" i="1"/>
  <c r="AM51" i="1"/>
  <c r="AK51" i="1"/>
  <c r="AJ51" i="1"/>
  <c r="AF51" i="1"/>
  <c r="AH51" i="1" s="1"/>
  <c r="AE51" i="1"/>
  <c r="AI51" i="1" s="1"/>
  <c r="AD51" i="1"/>
  <c r="AC51" i="1"/>
  <c r="AU50" i="1"/>
  <c r="AT50" i="1"/>
  <c r="AP50" i="1"/>
  <c r="AO50" i="1"/>
  <c r="AS50" i="1" s="1"/>
  <c r="AN50" i="1"/>
  <c r="AM50" i="1"/>
  <c r="AK50" i="1"/>
  <c r="AJ50" i="1"/>
  <c r="AF50" i="1"/>
  <c r="AH50" i="1" s="1"/>
  <c r="AE50" i="1"/>
  <c r="AD50" i="1"/>
  <c r="AC50" i="1"/>
  <c r="AU49" i="1"/>
  <c r="AT49" i="1"/>
  <c r="AP49" i="1"/>
  <c r="AO49" i="1"/>
  <c r="AS49" i="1" s="1"/>
  <c r="AN49" i="1"/>
  <c r="AM49" i="1"/>
  <c r="AK49" i="1"/>
  <c r="AJ49" i="1"/>
  <c r="AI49" i="1"/>
  <c r="AH49" i="1"/>
  <c r="AF49" i="1"/>
  <c r="AE49" i="1"/>
  <c r="AG49" i="1" s="1"/>
  <c r="AD49" i="1"/>
  <c r="AC49" i="1"/>
  <c r="AB49" i="1"/>
  <c r="B27" i="2"/>
  <c r="AT24" i="3"/>
  <c r="AS24" i="3"/>
  <c r="AO24" i="3"/>
  <c r="AN24" i="3"/>
  <c r="AM24" i="3"/>
  <c r="AL24" i="3"/>
  <c r="C29" i="3" s="1"/>
  <c r="AJ24" i="3"/>
  <c r="AI24" i="3"/>
  <c r="AE24" i="3"/>
  <c r="AD24" i="3"/>
  <c r="AC24" i="3"/>
  <c r="AB24" i="3"/>
  <c r="C28" i="3" s="1"/>
  <c r="Y24" i="3"/>
  <c r="W24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0" i="3" s="1"/>
  <c r="Y18" i="3"/>
  <c r="W18" i="3"/>
  <c r="AT13" i="3"/>
  <c r="AS13" i="3"/>
  <c r="AO13" i="3"/>
  <c r="AN13" i="3"/>
  <c r="AM13" i="3"/>
  <c r="AL13" i="3"/>
  <c r="G18" i="3" s="1"/>
  <c r="AJ13" i="3"/>
  <c r="AI13" i="3"/>
  <c r="AE13" i="3"/>
  <c r="AD13" i="3"/>
  <c r="AA13" i="3" s="1"/>
  <c r="AC13" i="3"/>
  <c r="AB13" i="3"/>
  <c r="G24" i="3" s="1"/>
  <c r="Y13" i="3"/>
  <c r="W13" i="3"/>
  <c r="AT12" i="3"/>
  <c r="AS12" i="3"/>
  <c r="AO12" i="3"/>
  <c r="AN12" i="3"/>
  <c r="AM12" i="3"/>
  <c r="AL12" i="3"/>
  <c r="C18" i="3" s="1"/>
  <c r="AJ12" i="3"/>
  <c r="AI12" i="3"/>
  <c r="AE12" i="3"/>
  <c r="AD12" i="3"/>
  <c r="AC12" i="3"/>
  <c r="AB12" i="3"/>
  <c r="C24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Z132" i="1"/>
  <c r="X132" i="1"/>
  <c r="Z131" i="1"/>
  <c r="X131" i="1"/>
  <c r="Z130" i="1"/>
  <c r="X130" i="1"/>
  <c r="Z129" i="1"/>
  <c r="X129" i="1"/>
  <c r="Z128" i="1"/>
  <c r="X128" i="1"/>
  <c r="Z127" i="1"/>
  <c r="X127" i="1"/>
  <c r="Z126" i="1"/>
  <c r="X126" i="1"/>
  <c r="Z125" i="1"/>
  <c r="X125" i="1"/>
  <c r="Z124" i="1"/>
  <c r="X124" i="1"/>
  <c r="Z123" i="1"/>
  <c r="X123" i="1"/>
  <c r="Z122" i="1"/>
  <c r="X122" i="1"/>
  <c r="Z121" i="1"/>
  <c r="X121" i="1"/>
  <c r="Z118" i="1"/>
  <c r="X118" i="1"/>
  <c r="Z117" i="1"/>
  <c r="X117" i="1"/>
  <c r="Z116" i="1"/>
  <c r="X116" i="1"/>
  <c r="Z115" i="1"/>
  <c r="X115" i="1"/>
  <c r="Z114" i="1"/>
  <c r="X114" i="1"/>
  <c r="Z113" i="1"/>
  <c r="X113" i="1"/>
  <c r="Z112" i="1"/>
  <c r="X112" i="1"/>
  <c r="Z111" i="1"/>
  <c r="X111" i="1"/>
  <c r="Z110" i="1"/>
  <c r="X110" i="1"/>
  <c r="Z109" i="1"/>
  <c r="X109" i="1"/>
  <c r="Z108" i="1"/>
  <c r="X108" i="1"/>
  <c r="Z107" i="1"/>
  <c r="X107" i="1"/>
  <c r="Z104" i="1"/>
  <c r="X104" i="1"/>
  <c r="Z103" i="1"/>
  <c r="X103" i="1"/>
  <c r="Z102" i="1"/>
  <c r="X102" i="1"/>
  <c r="Z101" i="1"/>
  <c r="X101" i="1"/>
  <c r="Z100" i="1"/>
  <c r="X100" i="1"/>
  <c r="Z99" i="1"/>
  <c r="X99" i="1"/>
  <c r="Z98" i="1"/>
  <c r="X98" i="1"/>
  <c r="Z97" i="1"/>
  <c r="X97" i="1"/>
  <c r="Z96" i="1"/>
  <c r="X96" i="1"/>
  <c r="Z95" i="1"/>
  <c r="X95" i="1"/>
  <c r="Z94" i="1"/>
  <c r="X94" i="1"/>
  <c r="Z93" i="1"/>
  <c r="X93" i="1"/>
  <c r="Z88" i="1"/>
  <c r="X88" i="1"/>
  <c r="Z87" i="1"/>
  <c r="X87" i="1"/>
  <c r="Z86" i="1"/>
  <c r="X86" i="1"/>
  <c r="Z85" i="1"/>
  <c r="X85" i="1"/>
  <c r="Z84" i="1"/>
  <c r="X84" i="1"/>
  <c r="Z83" i="1"/>
  <c r="X83" i="1"/>
  <c r="Z82" i="1"/>
  <c r="X82" i="1"/>
  <c r="Z81" i="1"/>
  <c r="X81" i="1"/>
  <c r="Z80" i="1"/>
  <c r="X80" i="1"/>
  <c r="Z79" i="1"/>
  <c r="X79" i="1"/>
  <c r="Z78" i="1"/>
  <c r="X78" i="1"/>
  <c r="Z77" i="1"/>
  <c r="X77" i="1"/>
  <c r="Z74" i="1"/>
  <c r="X74" i="1"/>
  <c r="Z73" i="1"/>
  <c r="X73" i="1"/>
  <c r="Z72" i="1"/>
  <c r="X72" i="1"/>
  <c r="Z71" i="1"/>
  <c r="X71" i="1"/>
  <c r="Z70" i="1"/>
  <c r="X70" i="1"/>
  <c r="Z69" i="1"/>
  <c r="X69" i="1"/>
  <c r="Z68" i="1"/>
  <c r="X68" i="1"/>
  <c r="Z67" i="1"/>
  <c r="X67" i="1"/>
  <c r="Z66" i="1"/>
  <c r="X66" i="1"/>
  <c r="Z65" i="1"/>
  <c r="X65" i="1"/>
  <c r="Z64" i="1"/>
  <c r="X64" i="1"/>
  <c r="Z63" i="1"/>
  <c r="X63" i="1"/>
  <c r="Z60" i="1"/>
  <c r="X60" i="1"/>
  <c r="Z59" i="1"/>
  <c r="X59" i="1"/>
  <c r="Z58" i="1"/>
  <c r="X58" i="1"/>
  <c r="Z57" i="1"/>
  <c r="X57" i="1"/>
  <c r="Z56" i="1"/>
  <c r="X56" i="1"/>
  <c r="Z55" i="1"/>
  <c r="X55" i="1"/>
  <c r="Z54" i="1"/>
  <c r="X54" i="1"/>
  <c r="Z53" i="1"/>
  <c r="X53" i="1"/>
  <c r="Z52" i="1"/>
  <c r="X52" i="1"/>
  <c r="Z51" i="1"/>
  <c r="X51" i="1"/>
  <c r="Z50" i="1"/>
  <c r="X50" i="1"/>
  <c r="Z49" i="1"/>
  <c r="X49" i="1"/>
  <c r="AG54" i="1" l="1"/>
  <c r="AI55" i="1"/>
  <c r="AG56" i="1"/>
  <c r="AB59" i="1"/>
  <c r="AS52" i="1"/>
  <c r="AS53" i="1"/>
  <c r="AS54" i="1"/>
  <c r="AS57" i="1"/>
  <c r="AI56" i="1"/>
  <c r="AB57" i="1"/>
  <c r="AI58" i="1"/>
  <c r="AB50" i="1"/>
  <c r="AS51" i="1"/>
  <c r="AH54" i="1"/>
  <c r="AQ52" i="1"/>
  <c r="AR52" i="1"/>
  <c r="AI54" i="1"/>
  <c r="AI50" i="1"/>
  <c r="AB56" i="1"/>
  <c r="AS56" i="1"/>
  <c r="AR57" i="1"/>
  <c r="AI60" i="1"/>
  <c r="AQ53" i="1"/>
  <c r="AG55" i="1"/>
  <c r="AS58" i="1"/>
  <c r="AG50" i="1"/>
  <c r="AB52" i="1"/>
  <c r="AR53" i="1"/>
  <c r="AH55" i="1"/>
  <c r="AR58" i="1"/>
  <c r="AQ59" i="1"/>
  <c r="AI53" i="1"/>
  <c r="AS60" i="1"/>
  <c r="AG128" i="1"/>
  <c r="AB130" i="1"/>
  <c r="AH132" i="1"/>
  <c r="AQ125" i="1"/>
  <c r="AR131" i="1"/>
  <c r="AS132" i="1"/>
  <c r="AB125" i="1"/>
  <c r="AI122" i="1"/>
  <c r="AI123" i="1"/>
  <c r="AS126" i="1"/>
  <c r="AB128" i="1"/>
  <c r="AQ129" i="1"/>
  <c r="AS122" i="1"/>
  <c r="AG125" i="1"/>
  <c r="AS129" i="1"/>
  <c r="AS130" i="1"/>
  <c r="AH125" i="1"/>
  <c r="AQ122" i="1"/>
  <c r="AI128" i="1"/>
  <c r="AB129" i="1"/>
  <c r="AG122" i="1"/>
  <c r="AH122" i="1"/>
  <c r="AB123" i="1"/>
  <c r="AS125" i="1"/>
  <c r="AI130" i="1"/>
  <c r="AB131" i="1"/>
  <c r="AG132" i="1"/>
  <c r="AI132" i="1"/>
  <c r="AB132" i="1"/>
  <c r="AH127" i="1"/>
  <c r="AI127" i="1"/>
  <c r="AB127" i="1"/>
  <c r="AR124" i="1"/>
  <c r="AS124" i="1"/>
  <c r="AB124" i="1"/>
  <c r="AB121" i="1"/>
  <c r="AQ98" i="1"/>
  <c r="AG101" i="1"/>
  <c r="AQ112" i="1"/>
  <c r="AG115" i="1"/>
  <c r="AQ126" i="1"/>
  <c r="AG129" i="1"/>
  <c r="AQ93" i="1"/>
  <c r="AI94" i="1"/>
  <c r="AG96" i="1"/>
  <c r="AQ107" i="1"/>
  <c r="AG110" i="1"/>
  <c r="AR112" i="1"/>
  <c r="AH115" i="1"/>
  <c r="AQ121" i="1"/>
  <c r="AG124" i="1"/>
  <c r="AR126" i="1"/>
  <c r="AH129" i="1"/>
  <c r="AR93" i="1"/>
  <c r="AH96" i="1"/>
  <c r="AQ100" i="1"/>
  <c r="AI101" i="1"/>
  <c r="AG103" i="1"/>
  <c r="AR107" i="1"/>
  <c r="AH110" i="1"/>
  <c r="AQ114" i="1"/>
  <c r="AG117" i="1"/>
  <c r="AR121" i="1"/>
  <c r="AH124" i="1"/>
  <c r="AQ128" i="1"/>
  <c r="AI129" i="1"/>
  <c r="AG131" i="1"/>
  <c r="AQ95" i="1"/>
  <c r="AI96" i="1"/>
  <c r="AG98" i="1"/>
  <c r="AR100" i="1"/>
  <c r="AH103" i="1"/>
  <c r="AQ109" i="1"/>
  <c r="AI110" i="1"/>
  <c r="AG112" i="1"/>
  <c r="AR114" i="1"/>
  <c r="AH117" i="1"/>
  <c r="AQ123" i="1"/>
  <c r="AI124" i="1"/>
  <c r="AG126" i="1"/>
  <c r="AR128" i="1"/>
  <c r="AH131" i="1"/>
  <c r="AR95" i="1"/>
  <c r="AH98" i="1"/>
  <c r="AQ102" i="1"/>
  <c r="AI103" i="1"/>
  <c r="AB104" i="1"/>
  <c r="AG107" i="1"/>
  <c r="AR109" i="1"/>
  <c r="AH112" i="1"/>
  <c r="AQ116" i="1"/>
  <c r="AI117" i="1"/>
  <c r="AG121" i="1"/>
  <c r="AR123" i="1"/>
  <c r="AH126" i="1"/>
  <c r="AQ130" i="1"/>
  <c r="AI131" i="1"/>
  <c r="AH93" i="1"/>
  <c r="AQ97" i="1"/>
  <c r="AI98" i="1"/>
  <c r="AB99" i="1"/>
  <c r="AG100" i="1"/>
  <c r="AR102" i="1"/>
  <c r="AH107" i="1"/>
  <c r="AI112" i="1"/>
  <c r="AR116" i="1"/>
  <c r="AH121" i="1"/>
  <c r="AI126" i="1"/>
  <c r="AR130" i="1"/>
  <c r="AG95" i="1"/>
  <c r="AR97" i="1"/>
  <c r="AH100" i="1"/>
  <c r="AQ104" i="1"/>
  <c r="AG109" i="1"/>
  <c r="AR111" i="1"/>
  <c r="AH114" i="1"/>
  <c r="AQ118" i="1"/>
  <c r="AG123" i="1"/>
  <c r="AR125" i="1"/>
  <c r="AH128" i="1"/>
  <c r="AQ132" i="1"/>
  <c r="AH95" i="1"/>
  <c r="AQ99" i="1"/>
  <c r="AG102" i="1"/>
  <c r="AR104" i="1"/>
  <c r="AH109" i="1"/>
  <c r="AQ113" i="1"/>
  <c r="AG116" i="1"/>
  <c r="AR118" i="1"/>
  <c r="AH123" i="1"/>
  <c r="AQ127" i="1"/>
  <c r="AG130" i="1"/>
  <c r="AR132" i="1"/>
  <c r="AH102" i="1"/>
  <c r="AR113" i="1"/>
  <c r="AH116" i="1"/>
  <c r="AR127" i="1"/>
  <c r="AH130" i="1"/>
  <c r="AQ101" i="1"/>
  <c r="AG104" i="1"/>
  <c r="AQ54" i="1"/>
  <c r="AG57" i="1"/>
  <c r="AQ68" i="1"/>
  <c r="AG71" i="1"/>
  <c r="AQ49" i="1"/>
  <c r="AB51" i="1"/>
  <c r="AG52" i="1"/>
  <c r="AR54" i="1"/>
  <c r="AQ63" i="1"/>
  <c r="AB65" i="1"/>
  <c r="AG66" i="1"/>
  <c r="AH71" i="1"/>
  <c r="AQ77" i="1"/>
  <c r="AG80" i="1"/>
  <c r="AR82" i="1"/>
  <c r="AH85" i="1"/>
  <c r="AR49" i="1"/>
  <c r="AH52" i="1"/>
  <c r="AQ56" i="1"/>
  <c r="AI57" i="1"/>
  <c r="AB58" i="1"/>
  <c r="AG59" i="1"/>
  <c r="AR63" i="1"/>
  <c r="AH66" i="1"/>
  <c r="AQ70" i="1"/>
  <c r="AB72" i="1"/>
  <c r="AG73" i="1"/>
  <c r="AR77" i="1"/>
  <c r="AH80" i="1"/>
  <c r="AQ84" i="1"/>
  <c r="AI85" i="1"/>
  <c r="AB86" i="1"/>
  <c r="AG87" i="1"/>
  <c r="AQ51" i="1"/>
  <c r="AI52" i="1"/>
  <c r="AB53" i="1"/>
  <c r="AR56" i="1"/>
  <c r="AH59" i="1"/>
  <c r="AQ65" i="1"/>
  <c r="AI66" i="1"/>
  <c r="AB67" i="1"/>
  <c r="AG68" i="1"/>
  <c r="AR70" i="1"/>
  <c r="AH73" i="1"/>
  <c r="AQ79" i="1"/>
  <c r="AI80" i="1"/>
  <c r="AB81" i="1"/>
  <c r="AG82" i="1"/>
  <c r="AR84" i="1"/>
  <c r="AH87" i="1"/>
  <c r="AQ58" i="1"/>
  <c r="AI59" i="1"/>
  <c r="AB60" i="1"/>
  <c r="AR65" i="1"/>
  <c r="AH68" i="1"/>
  <c r="AI73" i="1"/>
  <c r="AB74" i="1"/>
  <c r="AR79" i="1"/>
  <c r="AQ86" i="1"/>
  <c r="AI87" i="1"/>
  <c r="AI68" i="1"/>
  <c r="AG51" i="1"/>
  <c r="AQ60" i="1"/>
  <c r="AG65" i="1"/>
  <c r="AQ74" i="1"/>
  <c r="AG79" i="1"/>
  <c r="AR81" i="1"/>
  <c r="AH84" i="1"/>
  <c r="AQ88" i="1"/>
  <c r="AQ55" i="1"/>
  <c r="AG58" i="1"/>
  <c r="AR60" i="1"/>
  <c r="AR74" i="1"/>
  <c r="AH79" i="1"/>
  <c r="AQ83" i="1"/>
  <c r="AG86" i="1"/>
  <c r="AR88" i="1"/>
  <c r="AQ50" i="1"/>
  <c r="AG53" i="1"/>
  <c r="AR55" i="1"/>
  <c r="AH58" i="1"/>
  <c r="AQ64" i="1"/>
  <c r="AG67" i="1"/>
  <c r="AR69" i="1"/>
  <c r="AH72" i="1"/>
  <c r="AQ78" i="1"/>
  <c r="AG81" i="1"/>
  <c r="AR83" i="1"/>
  <c r="AH86" i="1"/>
  <c r="AR50" i="1"/>
  <c r="AH53" i="1"/>
  <c r="AQ57" i="1"/>
  <c r="AG60" i="1"/>
  <c r="AR64" i="1"/>
  <c r="AH67" i="1"/>
  <c r="AQ71" i="1"/>
  <c r="AG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X6" i="1" l="1"/>
  <c r="Z6" i="1"/>
  <c r="X7" i="1"/>
  <c r="Z7" i="1"/>
  <c r="X8" i="1"/>
  <c r="Z8" i="1"/>
  <c r="X9" i="1"/>
  <c r="Z9" i="1"/>
  <c r="X10" i="1"/>
  <c r="Z10" i="1"/>
  <c r="X11" i="1"/>
  <c r="Z11" i="1"/>
  <c r="X12" i="1"/>
  <c r="Z12" i="1"/>
  <c r="X13" i="1"/>
  <c r="Z13" i="1"/>
  <c r="X14" i="1"/>
  <c r="Z14" i="1"/>
  <c r="X15" i="1"/>
  <c r="Z15" i="1"/>
  <c r="X16" i="1"/>
  <c r="Z16" i="1"/>
  <c r="AE5" i="1"/>
  <c r="AC19" i="1"/>
  <c r="AD19" i="1"/>
  <c r="AE19" i="1"/>
  <c r="AF19" i="1"/>
  <c r="AJ19" i="1"/>
  <c r="AK19" i="1"/>
  <c r="AM19" i="1"/>
  <c r="AN19" i="1"/>
  <c r="AO19" i="1"/>
  <c r="AP19" i="1"/>
  <c r="AT19" i="1"/>
  <c r="AU19" i="1"/>
  <c r="AC20" i="1"/>
  <c r="AD20" i="1"/>
  <c r="AE20" i="1"/>
  <c r="AF20" i="1"/>
  <c r="AJ20" i="1"/>
  <c r="AK20" i="1"/>
  <c r="AM20" i="1"/>
  <c r="AN20" i="1"/>
  <c r="AO20" i="1"/>
  <c r="AP20" i="1"/>
  <c r="AT20" i="1"/>
  <c r="AU20" i="1"/>
  <c r="AC21" i="1"/>
  <c r="AD21" i="1"/>
  <c r="AE21" i="1"/>
  <c r="AF21" i="1"/>
  <c r="AJ21" i="1"/>
  <c r="AK21" i="1"/>
  <c r="AM21" i="1"/>
  <c r="AN21" i="1"/>
  <c r="AO21" i="1"/>
  <c r="AP21" i="1"/>
  <c r="AT21" i="1"/>
  <c r="AU21" i="1"/>
  <c r="AC22" i="1"/>
  <c r="AD22" i="1"/>
  <c r="AE22" i="1"/>
  <c r="AF22" i="1"/>
  <c r="AJ22" i="1"/>
  <c r="AK22" i="1"/>
  <c r="AM22" i="1"/>
  <c r="AN22" i="1"/>
  <c r="AO22" i="1"/>
  <c r="AP22" i="1"/>
  <c r="AT22" i="1"/>
  <c r="AU22" i="1"/>
  <c r="AC23" i="1"/>
  <c r="AD23" i="1"/>
  <c r="AE23" i="1"/>
  <c r="AF23" i="1"/>
  <c r="AJ23" i="1"/>
  <c r="AK23" i="1"/>
  <c r="AM23" i="1"/>
  <c r="AN23" i="1"/>
  <c r="AO23" i="1"/>
  <c r="AP23" i="1"/>
  <c r="AT23" i="1"/>
  <c r="AU23" i="1"/>
  <c r="AC24" i="1"/>
  <c r="AD24" i="1"/>
  <c r="AE24" i="1"/>
  <c r="AI24" i="1" s="1"/>
  <c r="AF24" i="1"/>
  <c r="AJ24" i="1"/>
  <c r="AK24" i="1"/>
  <c r="AM24" i="1"/>
  <c r="AN24" i="1"/>
  <c r="AO24" i="1"/>
  <c r="AP24" i="1"/>
  <c r="AT24" i="1"/>
  <c r="AU24" i="1"/>
  <c r="AC25" i="1"/>
  <c r="AD25" i="1"/>
  <c r="AE25" i="1"/>
  <c r="AG25" i="1" s="1"/>
  <c r="AF25" i="1"/>
  <c r="AJ25" i="1"/>
  <c r="AK25" i="1"/>
  <c r="AM25" i="1"/>
  <c r="AN25" i="1"/>
  <c r="AO25" i="1"/>
  <c r="AS25" i="1" s="1"/>
  <c r="AP25" i="1"/>
  <c r="AT25" i="1"/>
  <c r="AU25" i="1"/>
  <c r="AC26" i="1"/>
  <c r="AD26" i="1"/>
  <c r="AE26" i="1"/>
  <c r="AH26" i="1" s="1"/>
  <c r="AF26" i="1"/>
  <c r="AJ26" i="1"/>
  <c r="AK26" i="1"/>
  <c r="AM26" i="1"/>
  <c r="AN26" i="1"/>
  <c r="AO26" i="1"/>
  <c r="AP26" i="1"/>
  <c r="AT26" i="1"/>
  <c r="AU26" i="1"/>
  <c r="AC27" i="1"/>
  <c r="AD27" i="1"/>
  <c r="AE27" i="1"/>
  <c r="AB27" i="1" s="1"/>
  <c r="AF27" i="1"/>
  <c r="AJ27" i="1"/>
  <c r="AK27" i="1"/>
  <c r="AM27" i="1"/>
  <c r="AN27" i="1"/>
  <c r="AO27" i="1"/>
  <c r="AP27" i="1"/>
  <c r="AT27" i="1"/>
  <c r="AU27" i="1"/>
  <c r="AC28" i="1"/>
  <c r="AD28" i="1"/>
  <c r="AE28" i="1"/>
  <c r="AI28" i="1" s="1"/>
  <c r="AF28" i="1"/>
  <c r="AJ28" i="1"/>
  <c r="AK28" i="1"/>
  <c r="AM28" i="1"/>
  <c r="AN28" i="1"/>
  <c r="AO28" i="1"/>
  <c r="AQ28" i="1" s="1"/>
  <c r="AP28" i="1"/>
  <c r="AT28" i="1"/>
  <c r="AU28" i="1"/>
  <c r="AC29" i="1"/>
  <c r="AD29" i="1"/>
  <c r="AE29" i="1"/>
  <c r="AF29" i="1"/>
  <c r="AJ29" i="1"/>
  <c r="AK29" i="1"/>
  <c r="AM29" i="1"/>
  <c r="AN29" i="1"/>
  <c r="AO29" i="1"/>
  <c r="AQ29" i="1" s="1"/>
  <c r="AP29" i="1"/>
  <c r="AT29" i="1"/>
  <c r="AU29" i="1"/>
  <c r="AC30" i="1"/>
  <c r="AD30" i="1"/>
  <c r="AE30" i="1"/>
  <c r="AF30" i="1"/>
  <c r="AJ30" i="1"/>
  <c r="AK30" i="1"/>
  <c r="AM30" i="1"/>
  <c r="AN30" i="1"/>
  <c r="AO30" i="1"/>
  <c r="AP30" i="1"/>
  <c r="AT30" i="1"/>
  <c r="AU30" i="1"/>
  <c r="AC33" i="1"/>
  <c r="AD33" i="1"/>
  <c r="AE33" i="1"/>
  <c r="AF33" i="1"/>
  <c r="AJ33" i="1"/>
  <c r="AK33" i="1"/>
  <c r="AM33" i="1"/>
  <c r="AN33" i="1"/>
  <c r="AO33" i="1"/>
  <c r="AP33" i="1"/>
  <c r="AT33" i="1"/>
  <c r="AU33" i="1"/>
  <c r="AC34" i="1"/>
  <c r="AD34" i="1"/>
  <c r="AE34" i="1"/>
  <c r="AF34" i="1"/>
  <c r="AJ34" i="1"/>
  <c r="AK34" i="1"/>
  <c r="AM34" i="1"/>
  <c r="AN34" i="1"/>
  <c r="AO34" i="1"/>
  <c r="AP34" i="1"/>
  <c r="AT34" i="1"/>
  <c r="AU34" i="1"/>
  <c r="AC35" i="1"/>
  <c r="AD35" i="1"/>
  <c r="AE35" i="1"/>
  <c r="AF35" i="1"/>
  <c r="AJ35" i="1"/>
  <c r="AK35" i="1"/>
  <c r="AM35" i="1"/>
  <c r="AN35" i="1"/>
  <c r="AO35" i="1"/>
  <c r="AP35" i="1"/>
  <c r="AT35" i="1"/>
  <c r="AU35" i="1"/>
  <c r="AC36" i="1"/>
  <c r="AD36" i="1"/>
  <c r="AE36" i="1"/>
  <c r="AF36" i="1"/>
  <c r="AG36" i="1" s="1"/>
  <c r="AJ36" i="1"/>
  <c r="AK36" i="1"/>
  <c r="AM36" i="1"/>
  <c r="AN36" i="1"/>
  <c r="AO36" i="1"/>
  <c r="AP36" i="1"/>
  <c r="AT36" i="1"/>
  <c r="AU36" i="1"/>
  <c r="AC37" i="1"/>
  <c r="AD37" i="1"/>
  <c r="AE37" i="1"/>
  <c r="AF37" i="1"/>
  <c r="AJ37" i="1"/>
  <c r="AK37" i="1"/>
  <c r="AM37" i="1"/>
  <c r="AN37" i="1"/>
  <c r="AO37" i="1"/>
  <c r="AP37" i="1"/>
  <c r="AT37" i="1"/>
  <c r="AU37" i="1"/>
  <c r="AC38" i="1"/>
  <c r="AD38" i="1"/>
  <c r="AE38" i="1"/>
  <c r="AF38" i="1"/>
  <c r="AG38" i="1" s="1"/>
  <c r="AJ38" i="1"/>
  <c r="AK38" i="1"/>
  <c r="AM38" i="1"/>
  <c r="AN38" i="1"/>
  <c r="AO38" i="1"/>
  <c r="AP38" i="1"/>
  <c r="AR38" i="1" s="1"/>
  <c r="AT38" i="1"/>
  <c r="AU38" i="1"/>
  <c r="AC39" i="1"/>
  <c r="AD39" i="1"/>
  <c r="AE39" i="1"/>
  <c r="AF39" i="1"/>
  <c r="AJ39" i="1"/>
  <c r="AK39" i="1"/>
  <c r="AM39" i="1"/>
  <c r="AN39" i="1"/>
  <c r="AO39" i="1"/>
  <c r="AS39" i="1" s="1"/>
  <c r="AP39" i="1"/>
  <c r="AT39" i="1"/>
  <c r="AU39" i="1"/>
  <c r="AC40" i="1"/>
  <c r="AD40" i="1"/>
  <c r="AE40" i="1"/>
  <c r="AI40" i="1" s="1"/>
  <c r="AF40" i="1"/>
  <c r="AJ40" i="1"/>
  <c r="AK40" i="1"/>
  <c r="AM40" i="1"/>
  <c r="AN40" i="1"/>
  <c r="AO40" i="1"/>
  <c r="AS40" i="1" s="1"/>
  <c r="AP40" i="1"/>
  <c r="AT40" i="1"/>
  <c r="AU40" i="1"/>
  <c r="AC41" i="1"/>
  <c r="AD41" i="1"/>
  <c r="AE41" i="1"/>
  <c r="AB41" i="1" s="1"/>
  <c r="AF41" i="1"/>
  <c r="AJ41" i="1"/>
  <c r="AK41" i="1"/>
  <c r="AM41" i="1"/>
  <c r="AN41" i="1"/>
  <c r="AO41" i="1"/>
  <c r="AP41" i="1"/>
  <c r="AT41" i="1"/>
  <c r="AU41" i="1"/>
  <c r="AC42" i="1"/>
  <c r="AD42" i="1"/>
  <c r="AE42" i="1"/>
  <c r="AI42" i="1" s="1"/>
  <c r="AF42" i="1"/>
  <c r="AJ42" i="1"/>
  <c r="AK42" i="1"/>
  <c r="AM42" i="1"/>
  <c r="AN42" i="1"/>
  <c r="AO42" i="1"/>
  <c r="AP42" i="1"/>
  <c r="AR42" i="1" s="1"/>
  <c r="AT42" i="1"/>
  <c r="AU42" i="1"/>
  <c r="AC43" i="1"/>
  <c r="AD43" i="1"/>
  <c r="AE43" i="1"/>
  <c r="AG43" i="1" s="1"/>
  <c r="AF43" i="1"/>
  <c r="AJ43" i="1"/>
  <c r="AK43" i="1"/>
  <c r="AM43" i="1"/>
  <c r="AN43" i="1"/>
  <c r="AO43" i="1"/>
  <c r="AP43" i="1"/>
  <c r="AT43" i="1"/>
  <c r="AU43" i="1"/>
  <c r="AC44" i="1"/>
  <c r="AD44" i="1"/>
  <c r="AE44" i="1"/>
  <c r="AF44" i="1"/>
  <c r="AJ44" i="1"/>
  <c r="AK44" i="1"/>
  <c r="AM44" i="1"/>
  <c r="AN44" i="1"/>
  <c r="AO44" i="1"/>
  <c r="AP44" i="1"/>
  <c r="AR44" i="1" s="1"/>
  <c r="AT44" i="1"/>
  <c r="AU44" i="1"/>
  <c r="AC6" i="1"/>
  <c r="AD6" i="1"/>
  <c r="AE6" i="1"/>
  <c r="AF6" i="1"/>
  <c r="AJ6" i="1"/>
  <c r="AK6" i="1"/>
  <c r="AM6" i="1"/>
  <c r="AN6" i="1"/>
  <c r="AO6" i="1"/>
  <c r="AP6" i="1"/>
  <c r="AT6" i="1"/>
  <c r="AU6" i="1"/>
  <c r="AC7" i="1"/>
  <c r="AD7" i="1"/>
  <c r="AE7" i="1"/>
  <c r="AB7" i="1" s="1"/>
  <c r="AF7" i="1"/>
  <c r="AJ7" i="1"/>
  <c r="AK7" i="1"/>
  <c r="AM7" i="1"/>
  <c r="AN7" i="1"/>
  <c r="AO7" i="1"/>
  <c r="AP7" i="1"/>
  <c r="AT7" i="1"/>
  <c r="AU7" i="1"/>
  <c r="AC8" i="1"/>
  <c r="AD8" i="1"/>
  <c r="AE8" i="1"/>
  <c r="AF8" i="1"/>
  <c r="AJ8" i="1"/>
  <c r="AK8" i="1"/>
  <c r="AM8" i="1"/>
  <c r="AN8" i="1"/>
  <c r="AO8" i="1"/>
  <c r="AP8" i="1"/>
  <c r="AT8" i="1"/>
  <c r="AU8" i="1"/>
  <c r="AC9" i="1"/>
  <c r="AD9" i="1"/>
  <c r="AE9" i="1"/>
  <c r="AF9" i="1"/>
  <c r="AJ9" i="1"/>
  <c r="AK9" i="1"/>
  <c r="AM9" i="1"/>
  <c r="AN9" i="1"/>
  <c r="AO9" i="1"/>
  <c r="AQ9" i="1" s="1"/>
  <c r="AP9" i="1"/>
  <c r="AT9" i="1"/>
  <c r="AU9" i="1"/>
  <c r="AC10" i="1"/>
  <c r="AD10" i="1"/>
  <c r="AE10" i="1"/>
  <c r="AH10" i="1" s="1"/>
  <c r="AF10" i="1"/>
  <c r="AJ10" i="1"/>
  <c r="AK10" i="1"/>
  <c r="AM10" i="1"/>
  <c r="AN10" i="1"/>
  <c r="AO10" i="1"/>
  <c r="AQ10" i="1" s="1"/>
  <c r="AP10" i="1"/>
  <c r="AT10" i="1"/>
  <c r="AU10" i="1"/>
  <c r="AC11" i="1"/>
  <c r="AD11" i="1"/>
  <c r="AE11" i="1"/>
  <c r="AF11" i="1"/>
  <c r="AJ11" i="1"/>
  <c r="AK11" i="1"/>
  <c r="AM11" i="1"/>
  <c r="AN11" i="1"/>
  <c r="AO11" i="1"/>
  <c r="AQ11" i="1" s="1"/>
  <c r="AP11" i="1"/>
  <c r="AT11" i="1"/>
  <c r="AU11" i="1"/>
  <c r="AC12" i="1"/>
  <c r="AD12" i="1"/>
  <c r="AE12" i="1"/>
  <c r="AG12" i="1" s="1"/>
  <c r="AF12" i="1"/>
  <c r="AJ12" i="1"/>
  <c r="AK12" i="1"/>
  <c r="AM12" i="1"/>
  <c r="AN12" i="1"/>
  <c r="AO12" i="1"/>
  <c r="AP12" i="1"/>
  <c r="AT12" i="1"/>
  <c r="AU12" i="1"/>
  <c r="AC13" i="1"/>
  <c r="AD13" i="1"/>
  <c r="AE13" i="1"/>
  <c r="AB13" i="1" s="1"/>
  <c r="AF13" i="1"/>
  <c r="AJ13" i="1"/>
  <c r="AK13" i="1"/>
  <c r="AM13" i="1"/>
  <c r="AN13" i="1"/>
  <c r="AO13" i="1"/>
  <c r="AP13" i="1"/>
  <c r="AT13" i="1"/>
  <c r="AU13" i="1"/>
  <c r="AC14" i="1"/>
  <c r="AD14" i="1"/>
  <c r="AE14" i="1"/>
  <c r="AF14" i="1"/>
  <c r="AJ14" i="1"/>
  <c r="AK14" i="1"/>
  <c r="AM14" i="1"/>
  <c r="AN14" i="1"/>
  <c r="AO14" i="1"/>
  <c r="AP14" i="1"/>
  <c r="AT14" i="1"/>
  <c r="AU14" i="1"/>
  <c r="AC15" i="1"/>
  <c r="AD15" i="1"/>
  <c r="AE15" i="1"/>
  <c r="AF15" i="1"/>
  <c r="AJ15" i="1"/>
  <c r="AK15" i="1"/>
  <c r="AM15" i="1"/>
  <c r="AN15" i="1"/>
  <c r="AO15" i="1"/>
  <c r="AQ15" i="1" s="1"/>
  <c r="AP15" i="1"/>
  <c r="AT15" i="1"/>
  <c r="AU15" i="1"/>
  <c r="AC16" i="1"/>
  <c r="AD16" i="1"/>
  <c r="AE16" i="1"/>
  <c r="AB16" i="1" s="1"/>
  <c r="AF16" i="1"/>
  <c r="AJ16" i="1"/>
  <c r="AK16" i="1"/>
  <c r="AM16" i="1"/>
  <c r="AN16" i="1"/>
  <c r="AO16" i="1"/>
  <c r="AQ16" i="1" s="1"/>
  <c r="AP16" i="1"/>
  <c r="AT16" i="1"/>
  <c r="AU16" i="1"/>
  <c r="AU5" i="1"/>
  <c r="AT5" i="1"/>
  <c r="AP5" i="1"/>
  <c r="AO5" i="1"/>
  <c r="AN5" i="1"/>
  <c r="AM5" i="1"/>
  <c r="AK5" i="1"/>
  <c r="AJ5" i="1"/>
  <c r="AD5" i="1"/>
  <c r="AF5" i="1"/>
  <c r="AC5" i="1"/>
  <c r="Z44" i="1"/>
  <c r="Z43" i="1"/>
  <c r="Z42" i="1"/>
  <c r="Z41" i="1"/>
  <c r="Z40" i="1"/>
  <c r="Z39" i="1"/>
  <c r="Z38" i="1"/>
  <c r="Z37" i="1"/>
  <c r="Z36" i="1"/>
  <c r="Z35" i="1"/>
  <c r="Z34" i="1"/>
  <c r="Z33" i="1"/>
  <c r="X44" i="1"/>
  <c r="X43" i="1"/>
  <c r="X42" i="1"/>
  <c r="X41" i="1"/>
  <c r="X40" i="1"/>
  <c r="X39" i="1"/>
  <c r="X38" i="1"/>
  <c r="X37" i="1"/>
  <c r="X36" i="1"/>
  <c r="X35" i="1"/>
  <c r="X34" i="1"/>
  <c r="X33" i="1"/>
  <c r="Z30" i="1"/>
  <c r="Z29" i="1"/>
  <c r="Z28" i="1"/>
  <c r="Z27" i="1"/>
  <c r="Z26" i="1"/>
  <c r="Z25" i="1"/>
  <c r="Z24" i="1"/>
  <c r="Z23" i="1"/>
  <c r="Z22" i="1"/>
  <c r="Z21" i="1"/>
  <c r="Z20" i="1"/>
  <c r="Z19" i="1"/>
  <c r="X30" i="1"/>
  <c r="X29" i="1"/>
  <c r="X28" i="1"/>
  <c r="X27" i="1"/>
  <c r="X26" i="1"/>
  <c r="X25" i="1"/>
  <c r="X24" i="1"/>
  <c r="X23" i="1"/>
  <c r="X22" i="1"/>
  <c r="X21" i="1"/>
  <c r="X20" i="1"/>
  <c r="X19" i="1"/>
  <c r="Z5" i="1"/>
  <c r="X5" i="1"/>
  <c r="AR30" i="1" l="1"/>
  <c r="AR24" i="1"/>
  <c r="AR20" i="1"/>
  <c r="AS19" i="1"/>
  <c r="AG20" i="1"/>
  <c r="AQ27" i="1"/>
  <c r="AR25" i="1"/>
  <c r="AQ24" i="1"/>
  <c r="AQ23" i="1"/>
  <c r="AQ22" i="1"/>
  <c r="AS21" i="1"/>
  <c r="AI30" i="1"/>
  <c r="AI22" i="1"/>
  <c r="AB21" i="1"/>
  <c r="AI20" i="1"/>
  <c r="AB19" i="1"/>
  <c r="AS29" i="1"/>
  <c r="AQ30" i="1"/>
  <c r="AS27" i="1"/>
  <c r="AB25" i="1"/>
  <c r="AS34" i="1"/>
  <c r="AR36" i="1"/>
  <c r="AQ26" i="1"/>
  <c r="AG26" i="1"/>
  <c r="AB26" i="1"/>
  <c r="AR26" i="1"/>
  <c r="AS23" i="1"/>
  <c r="AR33" i="1"/>
  <c r="AQ34" i="1"/>
  <c r="AI34" i="1"/>
  <c r="AQ20" i="1"/>
  <c r="AQ40" i="1"/>
  <c r="AG33" i="1"/>
  <c r="AR43" i="1"/>
  <c r="AS42" i="1"/>
  <c r="AQ41" i="1"/>
  <c r="AR39" i="1"/>
  <c r="AR37" i="1"/>
  <c r="AQ36" i="1"/>
  <c r="AQ35" i="1"/>
  <c r="AS33" i="1"/>
  <c r="AG44" i="1"/>
  <c r="AG40" i="1"/>
  <c r="AB33" i="1"/>
  <c r="AB39" i="1"/>
  <c r="AG37" i="1"/>
  <c r="AI36" i="1"/>
  <c r="AG34" i="1"/>
  <c r="AB30" i="1"/>
  <c r="AS24" i="1"/>
  <c r="AH22" i="1"/>
  <c r="AB28" i="1"/>
  <c r="AG29" i="1"/>
  <c r="AG23" i="1"/>
  <c r="AB29" i="1"/>
  <c r="AS30" i="1"/>
  <c r="AH28" i="1"/>
  <c r="AG28" i="1"/>
  <c r="G5" i="2" s="1"/>
  <c r="AG22" i="1"/>
  <c r="AS28" i="1"/>
  <c r="AS22" i="1"/>
  <c r="AH20" i="1"/>
  <c r="AB24" i="1"/>
  <c r="AB23" i="1"/>
  <c r="AR28" i="1"/>
  <c r="AI26" i="1"/>
  <c r="AR22" i="1"/>
  <c r="AB22" i="1"/>
  <c r="AH30" i="1"/>
  <c r="AS26" i="1"/>
  <c r="L3" i="2" s="1"/>
  <c r="AH24" i="1"/>
  <c r="AS20" i="1"/>
  <c r="AB20" i="1"/>
  <c r="AG27" i="1"/>
  <c r="AG21" i="1"/>
  <c r="AG30" i="1"/>
  <c r="AG24" i="1"/>
  <c r="AQ21" i="1"/>
  <c r="J19" i="2"/>
  <c r="L11" i="2"/>
  <c r="L19" i="2"/>
  <c r="K10" i="2"/>
  <c r="K6" i="2"/>
  <c r="L18" i="2"/>
  <c r="J4" i="2"/>
  <c r="J8" i="2"/>
  <c r="J12" i="2"/>
  <c r="K4" i="2"/>
  <c r="K8" i="2"/>
  <c r="K12" i="2"/>
  <c r="K16" i="2"/>
  <c r="K27" i="2" s="1"/>
  <c r="K20" i="2"/>
  <c r="J6" i="2"/>
  <c r="L4" i="2"/>
  <c r="L8" i="2"/>
  <c r="L12" i="2"/>
  <c r="L20" i="2"/>
  <c r="J10" i="2"/>
  <c r="J5" i="2"/>
  <c r="J9" i="2"/>
  <c r="J13" i="2"/>
  <c r="J17" i="2"/>
  <c r="L6" i="2"/>
  <c r="K5" i="2"/>
  <c r="K9" i="2"/>
  <c r="K13" i="2"/>
  <c r="K17" i="2"/>
  <c r="L5" i="2"/>
  <c r="L9" i="2"/>
  <c r="L13" i="2"/>
  <c r="L17" i="2"/>
  <c r="J3" i="2"/>
  <c r="L10" i="2"/>
  <c r="Q12" i="2"/>
  <c r="M18" i="2"/>
  <c r="Q13" i="2"/>
  <c r="P7" i="2"/>
  <c r="P19" i="2"/>
  <c r="N13" i="2"/>
  <c r="M7" i="2"/>
  <c r="M19" i="2"/>
  <c r="I11" i="2"/>
  <c r="G8" i="2"/>
  <c r="G20" i="2"/>
  <c r="Q14" i="2"/>
  <c r="P8" i="2"/>
  <c r="P20" i="2"/>
  <c r="N14" i="2"/>
  <c r="M8" i="2"/>
  <c r="M20" i="2"/>
  <c r="H18" i="2"/>
  <c r="H3" i="2"/>
  <c r="P9" i="2"/>
  <c r="P3" i="2"/>
  <c r="N15" i="2"/>
  <c r="M3" i="2"/>
  <c r="G3" i="2"/>
  <c r="M4" i="2"/>
  <c r="N12" i="2"/>
  <c r="G9" i="2"/>
  <c r="I18" i="2"/>
  <c r="N10" i="2"/>
  <c r="G18" i="2"/>
  <c r="Q15" i="2"/>
  <c r="M9" i="2"/>
  <c r="G10" i="2"/>
  <c r="P4" i="2"/>
  <c r="Q11" i="2"/>
  <c r="P18" i="2"/>
  <c r="H11" i="2"/>
  <c r="Q4" i="2"/>
  <c r="Q16" i="2"/>
  <c r="Q27" i="2" s="1"/>
  <c r="P10" i="2"/>
  <c r="N4" i="2"/>
  <c r="N16" i="2"/>
  <c r="N27" i="2" s="1"/>
  <c r="M10" i="2"/>
  <c r="H7" i="2"/>
  <c r="H19" i="2"/>
  <c r="G11" i="2"/>
  <c r="G12" i="2"/>
  <c r="P16" i="2"/>
  <c r="P27" i="2" s="1"/>
  <c r="H4" i="2"/>
  <c r="M5" i="2"/>
  <c r="Q5" i="2"/>
  <c r="Q17" i="2"/>
  <c r="P11" i="2"/>
  <c r="N5" i="2"/>
  <c r="N17" i="2"/>
  <c r="M11" i="2"/>
  <c r="I7" i="2"/>
  <c r="I19" i="2"/>
  <c r="M17" i="2"/>
  <c r="P6" i="2"/>
  <c r="Q6" i="2"/>
  <c r="Q18" i="2"/>
  <c r="P12" i="2"/>
  <c r="N6" i="2"/>
  <c r="N18" i="2"/>
  <c r="M12" i="2"/>
  <c r="H8" i="2"/>
  <c r="H20" i="2"/>
  <c r="G13" i="2"/>
  <c r="G16" i="2"/>
  <c r="G27" i="2" s="1"/>
  <c r="P17" i="2"/>
  <c r="M6" i="2"/>
  <c r="G7" i="2"/>
  <c r="Q7" i="2"/>
  <c r="Q19" i="2"/>
  <c r="P13" i="2"/>
  <c r="N7" i="2"/>
  <c r="N19" i="2"/>
  <c r="M13" i="2"/>
  <c r="I8" i="2"/>
  <c r="I20" i="2"/>
  <c r="G4" i="2"/>
  <c r="M16" i="2"/>
  <c r="P5" i="2"/>
  <c r="I4" i="2"/>
  <c r="G19" i="2"/>
  <c r="Q8" i="2"/>
  <c r="Q20" i="2"/>
  <c r="P14" i="2"/>
  <c r="N8" i="2"/>
  <c r="N20" i="2"/>
  <c r="M14" i="2"/>
  <c r="I3" i="2"/>
  <c r="Q9" i="2"/>
  <c r="Q3" i="2"/>
  <c r="P15" i="2"/>
  <c r="N9" i="2"/>
  <c r="N3" i="2"/>
  <c r="M15" i="2"/>
  <c r="Q10" i="2"/>
  <c r="N11" i="2"/>
  <c r="I16" i="2"/>
  <c r="I27" i="2" s="1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I9" i="1"/>
  <c r="AI8" i="1"/>
  <c r="AG19" i="1"/>
  <c r="AQ19" i="1"/>
  <c r="J11" i="2" s="1"/>
  <c r="AB6" i="1"/>
  <c r="AI44" i="1"/>
  <c r="AR40" i="1"/>
  <c r="AI38" i="1"/>
  <c r="AR34" i="1"/>
  <c r="K19" i="2" s="1"/>
  <c r="AB44" i="1"/>
  <c r="AS44" i="1"/>
  <c r="AH42" i="1"/>
  <c r="AS38" i="1"/>
  <c r="AH36" i="1"/>
  <c r="AB42" i="1"/>
  <c r="AQ44" i="1"/>
  <c r="AG42" i="1"/>
  <c r="AQ38" i="1"/>
  <c r="AB40" i="1"/>
  <c r="AS43" i="1"/>
  <c r="AG41" i="1"/>
  <c r="AS37" i="1"/>
  <c r="L16" i="2" s="1"/>
  <c r="L27" i="2" s="1"/>
  <c r="AG35" i="1"/>
  <c r="AB43" i="1"/>
  <c r="AH40" i="1"/>
  <c r="AS36" i="1"/>
  <c r="AH34" i="1"/>
  <c r="H16" i="2" s="1"/>
  <c r="H27" i="2" s="1"/>
  <c r="AB38" i="1"/>
  <c r="AQ42" i="1"/>
  <c r="AB37" i="1"/>
  <c r="AB36" i="1"/>
  <c r="AS41" i="1"/>
  <c r="AG39" i="1"/>
  <c r="AS35" i="1"/>
  <c r="AB35" i="1"/>
  <c r="AH44" i="1"/>
  <c r="AH38" i="1"/>
  <c r="AB34" i="1"/>
  <c r="AB5" i="1"/>
  <c r="AR14" i="1"/>
  <c r="AQ13" i="1"/>
  <c r="AR12" i="1"/>
  <c r="AI14" i="1"/>
  <c r="AG14" i="1"/>
  <c r="AI12" i="1"/>
  <c r="AI10" i="1"/>
  <c r="AS16" i="1"/>
  <c r="AR15" i="1"/>
  <c r="AR13" i="1"/>
  <c r="AQ12" i="1"/>
  <c r="AI11" i="1"/>
  <c r="AQ7" i="1"/>
  <c r="J7" i="2" s="1"/>
  <c r="AI15" i="1"/>
  <c r="AH14" i="1"/>
  <c r="AS11" i="1"/>
  <c r="AG10" i="1"/>
  <c r="AB15" i="1"/>
  <c r="AR11" i="1"/>
  <c r="AB14" i="1"/>
  <c r="AS15" i="1"/>
  <c r="AH8" i="1"/>
  <c r="AR10" i="1"/>
  <c r="AG8" i="1"/>
  <c r="AI7" i="1"/>
  <c r="I6" i="2" s="1"/>
  <c r="AB12" i="1"/>
  <c r="AH7" i="1"/>
  <c r="H6" i="2" s="1"/>
  <c r="AB11" i="1"/>
  <c r="AI13" i="1"/>
  <c r="AH12" i="1"/>
  <c r="AS9" i="1"/>
  <c r="AG7" i="1"/>
  <c r="G6" i="2" s="1"/>
  <c r="AB10" i="1"/>
  <c r="AQ14" i="1"/>
  <c r="AR9" i="1"/>
  <c r="AB9" i="1"/>
  <c r="AS13" i="1"/>
  <c r="AB8" i="1"/>
  <c r="AQ8" i="1"/>
  <c r="AQ6" i="1"/>
  <c r="J18" i="2" s="1"/>
  <c r="AI6" i="1"/>
  <c r="I17" i="2" s="1"/>
  <c r="AH6" i="1"/>
  <c r="H17" i="2" s="1"/>
  <c r="AG6" i="1"/>
  <c r="G17" i="2" s="1"/>
  <c r="AS6" i="1"/>
  <c r="AR6" i="1"/>
  <c r="K18" i="2" s="1"/>
  <c r="AG16" i="1"/>
  <c r="AI16" i="1"/>
  <c r="AH16" i="1"/>
  <c r="AS5" i="1"/>
  <c r="L14" i="2" s="1"/>
  <c r="AR5" i="1"/>
  <c r="K14" i="2" s="1"/>
  <c r="AQ5" i="1"/>
  <c r="J14" i="2" s="1"/>
  <c r="AI43" i="1"/>
  <c r="AI41" i="1"/>
  <c r="AI39" i="1"/>
  <c r="AI37" i="1"/>
  <c r="I9" i="2" s="1"/>
  <c r="AI35" i="1"/>
  <c r="AI33" i="1"/>
  <c r="I12" i="2" s="1"/>
  <c r="AI29" i="1"/>
  <c r="AI27" i="1"/>
  <c r="AI25" i="1"/>
  <c r="AI23" i="1"/>
  <c r="I5" i="2" s="1"/>
  <c r="AI21" i="1"/>
  <c r="I10" i="2" s="1"/>
  <c r="AI19" i="1"/>
  <c r="I13" i="2" s="1"/>
  <c r="AH43" i="1"/>
  <c r="AH41" i="1"/>
  <c r="AH39" i="1"/>
  <c r="AH37" i="1"/>
  <c r="H9" i="2" s="1"/>
  <c r="AH35" i="1"/>
  <c r="AH33" i="1"/>
  <c r="H12" i="2" s="1"/>
  <c r="AH29" i="1"/>
  <c r="AH27" i="1"/>
  <c r="AH25" i="1"/>
  <c r="AH23" i="1"/>
  <c r="AH21" i="1"/>
  <c r="H10" i="2" s="1"/>
  <c r="AH19" i="1"/>
  <c r="H13" i="2" s="1"/>
  <c r="AR41" i="1"/>
  <c r="AR35" i="1"/>
  <c r="AR27" i="1"/>
  <c r="AR23" i="1"/>
  <c r="AR21" i="1"/>
  <c r="K3" i="2" s="1"/>
  <c r="AR19" i="1"/>
  <c r="AR29" i="1"/>
  <c r="AQ43" i="1"/>
  <c r="AQ39" i="1"/>
  <c r="AQ37" i="1"/>
  <c r="J16" i="2" s="1"/>
  <c r="J27" i="2" s="1"/>
  <c r="AQ33" i="1"/>
  <c r="J20" i="2" s="1"/>
  <c r="AQ25" i="1"/>
  <c r="AH9" i="1"/>
  <c r="AH15" i="1"/>
  <c r="AH13" i="1"/>
  <c r="AH11" i="1"/>
  <c r="AG15" i="1"/>
  <c r="AG13" i="1"/>
  <c r="AG11" i="1"/>
  <c r="AG9" i="1"/>
  <c r="AS7" i="1"/>
  <c r="L7" i="2" s="1"/>
  <c r="AR7" i="1"/>
  <c r="K7" i="2" s="1"/>
  <c r="AS12" i="1"/>
  <c r="AS10" i="1"/>
  <c r="AS8" i="1"/>
  <c r="AR8" i="1"/>
  <c r="AS14" i="1"/>
  <c r="AR16" i="1"/>
  <c r="AH5" i="1"/>
  <c r="H15" i="2" s="1"/>
  <c r="AI5" i="1"/>
  <c r="I15" i="2" s="1"/>
  <c r="AG5" i="1"/>
  <c r="G15" i="2" s="1"/>
  <c r="H5" i="2" l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C18" i="2"/>
  <c r="R12" i="2"/>
  <c r="R14" i="2"/>
  <c r="R15" i="2"/>
  <c r="C11" i="2"/>
  <c r="C5" i="2"/>
  <c r="O3" i="2"/>
  <c r="C6" i="2"/>
  <c r="C12" i="2"/>
  <c r="C7" i="2"/>
  <c r="R11" i="2"/>
  <c r="R16" i="2"/>
  <c r="R27" i="2" s="1"/>
  <c r="O14" i="2"/>
  <c r="C13" i="2"/>
  <c r="C4" i="2"/>
  <c r="O13" i="2"/>
  <c r="C17" i="2"/>
  <c r="C19" i="2"/>
  <c r="O8" i="2"/>
  <c r="C10" i="2"/>
  <c r="C3" i="2"/>
  <c r="R19" i="2"/>
  <c r="R17" i="2"/>
  <c r="R20" i="2"/>
  <c r="R7" i="2"/>
  <c r="O9" i="2"/>
  <c r="R8" i="2"/>
  <c r="C16" i="2"/>
  <c r="C27" i="2" s="1"/>
  <c r="O18" i="2"/>
  <c r="R3" i="2"/>
  <c r="C20" i="2"/>
  <c r="R6" i="2"/>
  <c r="O5" i="2"/>
  <c r="R10" i="2"/>
  <c r="R9" i="2"/>
  <c r="C8" i="2"/>
  <c r="O17" i="2"/>
  <c r="C9" i="2"/>
  <c r="C15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4" i="2" l="1"/>
  <c r="S4" i="2" s="1"/>
  <c r="S6" i="2"/>
  <c r="S7" i="2"/>
  <c r="S20" i="2"/>
  <c r="U19" i="2"/>
  <c r="U3" i="2"/>
  <c r="V8" i="2"/>
  <c r="U7" i="2"/>
  <c r="S17" i="2"/>
  <c r="V10" i="2"/>
  <c r="V17" i="2"/>
  <c r="U10" i="2"/>
  <c r="U8" i="2"/>
  <c r="T10" i="2"/>
  <c r="V6" i="2"/>
  <c r="V11" i="2"/>
  <c r="V14" i="2"/>
  <c r="T13" i="2"/>
  <c r="S14" i="2"/>
  <c r="V19" i="2"/>
  <c r="V20" i="2"/>
  <c r="U9" i="2"/>
  <c r="U18" i="2"/>
  <c r="U6" i="2"/>
  <c r="S12" i="2"/>
  <c r="V18" i="2"/>
  <c r="S19" i="2"/>
  <c r="S3" i="2"/>
  <c r="S18" i="2"/>
  <c r="T16" i="2"/>
  <c r="U17" i="2"/>
  <c r="S11" i="2"/>
  <c r="U13" i="2"/>
  <c r="T14" i="2"/>
  <c r="S16" i="2"/>
  <c r="U12" i="2"/>
  <c r="T4" i="2"/>
  <c r="S5" i="2"/>
  <c r="T18" i="2"/>
  <c r="U5" i="2"/>
  <c r="T6" i="2"/>
  <c r="V3" i="2"/>
  <c r="S13" i="2"/>
  <c r="U11" i="2"/>
  <c r="V5" i="2"/>
  <c r="V9" i="2"/>
  <c r="T3" i="2"/>
  <c r="T20" i="2"/>
  <c r="S10" i="2"/>
  <c r="V16" i="2"/>
  <c r="T8" i="2"/>
  <c r="T17" i="2"/>
  <c r="V4" i="2"/>
  <c r="S8" i="2"/>
  <c r="U15" i="2"/>
  <c r="T5" i="2"/>
  <c r="V15" i="2"/>
  <c r="T12" i="2"/>
  <c r="V7" i="2"/>
  <c r="T19" i="2"/>
  <c r="V13" i="2"/>
  <c r="T9" i="2"/>
  <c r="T7" i="2"/>
  <c r="V12" i="2"/>
  <c r="U16" i="2"/>
  <c r="U14" i="2"/>
  <c r="U4" i="2"/>
  <c r="U20" i="2" l="1"/>
  <c r="A20" i="2" s="1"/>
  <c r="T11" i="2"/>
  <c r="T15" i="2"/>
  <c r="S15" i="2"/>
  <c r="S9" i="2"/>
  <c r="A9" i="2" s="1"/>
  <c r="A6" i="2"/>
  <c r="A19" i="2"/>
  <c r="A14" i="2"/>
  <c r="A17" i="2"/>
  <c r="A11" i="2"/>
  <c r="A18" i="2"/>
  <c r="A10" i="2"/>
  <c r="A7" i="2"/>
  <c r="A5" i="2"/>
  <c r="A3" i="2"/>
  <c r="A12" i="2"/>
  <c r="A4" i="2"/>
  <c r="A8" i="2"/>
  <c r="A16" i="2"/>
  <c r="A13" i="2"/>
  <c r="A15" i="2" l="1"/>
  <c r="AA3" i="2"/>
  <c r="Z3" i="2"/>
  <c r="B28" i="2" s="1"/>
  <c r="Z4" i="2"/>
  <c r="B29" i="2" s="1"/>
  <c r="Z8" i="2"/>
  <c r="B33" i="2" s="1"/>
  <c r="Z5" i="2"/>
  <c r="B30" i="2" s="1"/>
  <c r="Z6" i="2"/>
  <c r="B31" i="2" s="1"/>
  <c r="Z7" i="2"/>
  <c r="B32" i="2" s="1"/>
  <c r="Z9" i="2"/>
  <c r="B34" i="2" s="1"/>
  <c r="BL21" i="3"/>
  <c r="AZ21" i="3"/>
  <c r="BG20" i="3"/>
  <c r="BB19" i="3"/>
  <c r="BI18" i="3"/>
  <c r="AW18" i="3"/>
  <c r="BB17" i="3"/>
  <c r="BG16" i="3"/>
  <c r="BB15" i="3"/>
  <c r="BI14" i="3"/>
  <c r="AW14" i="3"/>
  <c r="BD13" i="3"/>
  <c r="BK12" i="3"/>
  <c r="AY12" i="3"/>
  <c r="BF11" i="3"/>
  <c r="BA10" i="3"/>
  <c r="BH9" i="3"/>
  <c r="AV9" i="3"/>
  <c r="BC8" i="3"/>
  <c r="BJ7" i="3"/>
  <c r="AX7" i="3"/>
  <c r="BE6" i="3"/>
  <c r="BL5" i="3"/>
  <c r="AZ5" i="3"/>
  <c r="BG4" i="3"/>
  <c r="BK21" i="3"/>
  <c r="AY21" i="3"/>
  <c r="BF20" i="3"/>
  <c r="BA19" i="3"/>
  <c r="BH18" i="3"/>
  <c r="AV18" i="3"/>
  <c r="BA17" i="3"/>
  <c r="BF16" i="3"/>
  <c r="BA15" i="3"/>
  <c r="BH14" i="3"/>
  <c r="AV14" i="3"/>
  <c r="BC13" i="3"/>
  <c r="BJ12" i="3"/>
  <c r="AX12" i="3"/>
  <c r="BE11" i="3"/>
  <c r="BL10" i="3"/>
  <c r="AZ10" i="3"/>
  <c r="BG9" i="3"/>
  <c r="BB8" i="3"/>
  <c r="BI7" i="3"/>
  <c r="AW7" i="3"/>
  <c r="BD6" i="3"/>
  <c r="BK5" i="3"/>
  <c r="AY5" i="3"/>
  <c r="BF4" i="3"/>
  <c r="BJ21" i="3"/>
  <c r="AX21" i="3"/>
  <c r="BE20" i="3"/>
  <c r="BL19" i="3"/>
  <c r="AZ19" i="3"/>
  <c r="BG18" i="3"/>
  <c r="BL17" i="3"/>
  <c r="AZ17" i="3"/>
  <c r="BE16" i="3"/>
  <c r="BL15" i="3"/>
  <c r="AZ15" i="3"/>
  <c r="BG14" i="3"/>
  <c r="BB13" i="3"/>
  <c r="BI12" i="3"/>
  <c r="AW12" i="3"/>
  <c r="BD11" i="3"/>
  <c r="BK10" i="3"/>
  <c r="AY10" i="3"/>
  <c r="BF9" i="3"/>
  <c r="BA8" i="3"/>
  <c r="BH7" i="3"/>
  <c r="AV7" i="3"/>
  <c r="BC6" i="3"/>
  <c r="BJ5" i="3"/>
  <c r="AX5" i="3"/>
  <c r="BE4" i="3"/>
  <c r="BI21" i="3"/>
  <c r="AW21" i="3"/>
  <c r="BD20" i="3"/>
  <c r="BK19" i="3"/>
  <c r="AY19" i="3"/>
  <c r="BF18" i="3"/>
  <c r="BK17" i="3"/>
  <c r="AY17" i="3"/>
  <c r="BD16" i="3"/>
  <c r="BK15" i="3"/>
  <c r="AY15" i="3"/>
  <c r="BF14" i="3"/>
  <c r="BA13" i="3"/>
  <c r="BH12" i="3"/>
  <c r="AV12" i="3"/>
  <c r="BC11" i="3"/>
  <c r="BJ10" i="3"/>
  <c r="AX10" i="3"/>
  <c r="BE9" i="3"/>
  <c r="BL8" i="3"/>
  <c r="AZ8" i="3"/>
  <c r="BG7" i="3"/>
  <c r="BB6" i="3"/>
  <c r="BI5" i="3"/>
  <c r="AW5" i="3"/>
  <c r="BD4" i="3"/>
  <c r="BH21" i="3"/>
  <c r="AV21" i="3"/>
  <c r="BC20" i="3"/>
  <c r="BJ19" i="3"/>
  <c r="AX19" i="3"/>
  <c r="BE18" i="3"/>
  <c r="BJ17" i="3"/>
  <c r="AX17" i="3"/>
  <c r="BC16" i="3"/>
  <c r="BJ15" i="3"/>
  <c r="AX15" i="3"/>
  <c r="BE14" i="3"/>
  <c r="BL13" i="3"/>
  <c r="AZ13" i="3"/>
  <c r="BG12" i="3"/>
  <c r="BB11" i="3"/>
  <c r="BI10" i="3"/>
  <c r="AW10" i="3"/>
  <c r="BD9" i="3"/>
  <c r="BK8" i="3"/>
  <c r="AY8" i="3"/>
  <c r="BF7" i="3"/>
  <c r="BA6" i="3"/>
  <c r="BH5" i="3"/>
  <c r="AV5" i="3"/>
  <c r="BC4" i="3"/>
  <c r="BG21" i="3"/>
  <c r="BB20" i="3"/>
  <c r="BI19" i="3"/>
  <c r="AW19" i="3"/>
  <c r="BD18" i="3"/>
  <c r="BI17" i="3"/>
  <c r="AW17" i="3"/>
  <c r="BB16" i="3"/>
  <c r="BI15" i="3"/>
  <c r="AW15" i="3"/>
  <c r="BD14" i="3"/>
  <c r="BK13" i="3"/>
  <c r="AY13" i="3"/>
  <c r="BF12" i="3"/>
  <c r="BA11" i="3"/>
  <c r="BH10" i="3"/>
  <c r="AV10" i="3"/>
  <c r="BC9" i="3"/>
  <c r="BJ8" i="3"/>
  <c r="AX8" i="3"/>
  <c r="BE7" i="3"/>
  <c r="BL6" i="3"/>
  <c r="AZ6" i="3"/>
  <c r="BG5" i="3"/>
  <c r="BB4" i="3"/>
  <c r="BF21" i="3"/>
  <c r="BA20" i="3"/>
  <c r="BH19" i="3"/>
  <c r="AV19" i="3"/>
  <c r="BC18" i="3"/>
  <c r="BH17" i="3"/>
  <c r="AV17" i="3"/>
  <c r="BA16" i="3"/>
  <c r="BH15" i="3"/>
  <c r="AV15" i="3"/>
  <c r="BC14" i="3"/>
  <c r="BJ13" i="3"/>
  <c r="AX13" i="3"/>
  <c r="BE12" i="3"/>
  <c r="BL11" i="3"/>
  <c r="AZ11" i="3"/>
  <c r="BG10" i="3"/>
  <c r="BB9" i="3"/>
  <c r="BI8" i="3"/>
  <c r="AW8" i="3"/>
  <c r="BD7" i="3"/>
  <c r="BK6" i="3"/>
  <c r="AY6" i="3"/>
  <c r="BF5" i="3"/>
  <c r="BA4" i="3"/>
  <c r="BE21" i="3"/>
  <c r="BL20" i="3"/>
  <c r="AZ20" i="3"/>
  <c r="BG19" i="3"/>
  <c r="BB18" i="3"/>
  <c r="BG17" i="3"/>
  <c r="BL16" i="3"/>
  <c r="AZ16" i="3"/>
  <c r="BG15" i="3"/>
  <c r="BB14" i="3"/>
  <c r="BI13" i="3"/>
  <c r="AW13" i="3"/>
  <c r="BD12" i="3"/>
  <c r="BK11" i="3"/>
  <c r="AY11" i="3"/>
  <c r="BF10" i="3"/>
  <c r="BA9" i="3"/>
  <c r="BH8" i="3"/>
  <c r="AV8" i="3"/>
  <c r="BC7" i="3"/>
  <c r="BJ6" i="3"/>
  <c r="AX6" i="3"/>
  <c r="BE5" i="3"/>
  <c r="BL4" i="3"/>
  <c r="AZ4" i="3"/>
  <c r="BD21" i="3"/>
  <c r="BK20" i="3"/>
  <c r="AY20" i="3"/>
  <c r="BF19" i="3"/>
  <c r="BA18" i="3"/>
  <c r="BF17" i="3"/>
  <c r="BK16" i="3"/>
  <c r="AY16" i="3"/>
  <c r="BF15" i="3"/>
  <c r="BA14" i="3"/>
  <c r="BH13" i="3"/>
  <c r="AV13" i="3"/>
  <c r="BC12" i="3"/>
  <c r="BJ11" i="3"/>
  <c r="AX11" i="3"/>
  <c r="BE10" i="3"/>
  <c r="BL9" i="3"/>
  <c r="AZ9" i="3"/>
  <c r="BG8" i="3"/>
  <c r="BB7" i="3"/>
  <c r="BI6" i="3"/>
  <c r="AW6" i="3"/>
  <c r="BD5" i="3"/>
  <c r="BK4" i="3"/>
  <c r="AY4" i="3"/>
  <c r="BC21" i="3"/>
  <c r="BJ20" i="3"/>
  <c r="AX20" i="3"/>
  <c r="BE19" i="3"/>
  <c r="BL18" i="3"/>
  <c r="AZ18" i="3"/>
  <c r="BE17" i="3"/>
  <c r="BJ16" i="3"/>
  <c r="AX16" i="3"/>
  <c r="BE15" i="3"/>
  <c r="BL14" i="3"/>
  <c r="AZ14" i="3"/>
  <c r="BG13" i="3"/>
  <c r="BB12" i="3"/>
  <c r="BI11" i="3"/>
  <c r="AW11" i="3"/>
  <c r="BD10" i="3"/>
  <c r="BK9" i="3"/>
  <c r="AY9" i="3"/>
  <c r="BF8" i="3"/>
  <c r="BA7" i="3"/>
  <c r="BH6" i="3"/>
  <c r="AV6" i="3"/>
  <c r="BC5" i="3"/>
  <c r="BJ4" i="3"/>
  <c r="AX4" i="3"/>
  <c r="BB21" i="3"/>
  <c r="BI20" i="3"/>
  <c r="AW20" i="3"/>
  <c r="BD19" i="3"/>
  <c r="BK18" i="3"/>
  <c r="AY18" i="3"/>
  <c r="BD17" i="3"/>
  <c r="BI16" i="3"/>
  <c r="AW16" i="3"/>
  <c r="BD15" i="3"/>
  <c r="BK14" i="3"/>
  <c r="AY14" i="3"/>
  <c r="BF13" i="3"/>
  <c r="BA12" i="3"/>
  <c r="BH11" i="3"/>
  <c r="AV11" i="3"/>
  <c r="BC10" i="3"/>
  <c r="BJ9" i="3"/>
  <c r="AX9" i="3"/>
  <c r="BE8" i="3"/>
  <c r="BL7" i="3"/>
  <c r="AZ7" i="3"/>
  <c r="BG6" i="3"/>
  <c r="BB5" i="3"/>
  <c r="BI4" i="3"/>
  <c r="AW4" i="3"/>
  <c r="BA21" i="3"/>
  <c r="BC17" i="3"/>
  <c r="BE13" i="3"/>
  <c r="BF6" i="3"/>
  <c r="BH16" i="3"/>
  <c r="BI9" i="3"/>
  <c r="AV16" i="3"/>
  <c r="AW9" i="3"/>
  <c r="BH20" i="3"/>
  <c r="BL12" i="3"/>
  <c r="BA5" i="3"/>
  <c r="AV20" i="3"/>
  <c r="AZ12" i="3"/>
  <c r="BC15" i="3"/>
  <c r="BD8" i="3"/>
  <c r="BH4" i="3"/>
  <c r="BC19" i="3"/>
  <c r="BG11" i="3"/>
  <c r="AV4" i="3"/>
  <c r="BJ14" i="3"/>
  <c r="BK7" i="3"/>
  <c r="AX14" i="3"/>
  <c r="AY7" i="3"/>
  <c r="BJ18" i="3"/>
  <c r="BB10" i="3"/>
  <c r="AX18" i="3"/>
  <c r="L34" i="2" l="1"/>
  <c r="M34" i="2"/>
  <c r="N34" i="2"/>
  <c r="C34" i="2"/>
  <c r="O34" i="2"/>
  <c r="D34" i="2"/>
  <c r="P34" i="2"/>
  <c r="E34" i="2"/>
  <c r="Q34" i="2"/>
  <c r="F34" i="2"/>
  <c r="R34" i="2"/>
  <c r="G34" i="2"/>
  <c r="H34" i="2"/>
  <c r="I34" i="2"/>
  <c r="J34" i="2"/>
  <c r="K34" i="2"/>
  <c r="H32" i="2"/>
  <c r="I32" i="2"/>
  <c r="J32" i="2"/>
  <c r="K32" i="2"/>
  <c r="L32" i="2"/>
  <c r="M32" i="2"/>
  <c r="N32" i="2"/>
  <c r="C32" i="2"/>
  <c r="O32" i="2"/>
  <c r="D32" i="2"/>
  <c r="P32" i="2"/>
  <c r="E32" i="2"/>
  <c r="Q32" i="2"/>
  <c r="F32" i="2"/>
  <c r="R32" i="2"/>
  <c r="G32" i="2"/>
  <c r="L31" i="2"/>
  <c r="M31" i="2"/>
  <c r="N31" i="2"/>
  <c r="C31" i="2"/>
  <c r="O31" i="2"/>
  <c r="D31" i="2"/>
  <c r="P31" i="2"/>
  <c r="E31" i="2"/>
  <c r="Q31" i="2"/>
  <c r="F31" i="2"/>
  <c r="R31" i="2"/>
  <c r="G31" i="2"/>
  <c r="H31" i="2"/>
  <c r="I31" i="2"/>
  <c r="J31" i="2"/>
  <c r="K31" i="2"/>
  <c r="D30" i="2"/>
  <c r="P30" i="2"/>
  <c r="E30" i="2"/>
  <c r="Q30" i="2"/>
  <c r="F30" i="2"/>
  <c r="R30" i="2"/>
  <c r="G30" i="2"/>
  <c r="H30" i="2"/>
  <c r="I30" i="2"/>
  <c r="J30" i="2"/>
  <c r="K30" i="2"/>
  <c r="L30" i="2"/>
  <c r="M30" i="2"/>
  <c r="N30" i="2"/>
  <c r="C30" i="2"/>
  <c r="O30" i="2"/>
  <c r="D33" i="2"/>
  <c r="P33" i="2"/>
  <c r="E33" i="2"/>
  <c r="Q33" i="2"/>
  <c r="F33" i="2"/>
  <c r="R33" i="2"/>
  <c r="G33" i="2"/>
  <c r="H33" i="2"/>
  <c r="I33" i="2"/>
  <c r="J33" i="2"/>
  <c r="K33" i="2"/>
  <c r="L33" i="2"/>
  <c r="M33" i="2"/>
  <c r="N33" i="2"/>
  <c r="C33" i="2"/>
  <c r="O33" i="2"/>
  <c r="H29" i="2"/>
  <c r="I29" i="2"/>
  <c r="J29" i="2"/>
  <c r="K29" i="2"/>
  <c r="L29" i="2"/>
  <c r="M29" i="2"/>
  <c r="N29" i="2"/>
  <c r="C29" i="2"/>
  <c r="O29" i="2"/>
  <c r="D29" i="2"/>
  <c r="P29" i="2"/>
  <c r="E29" i="2"/>
  <c r="Q29" i="2"/>
  <c r="F29" i="2"/>
  <c r="R29" i="2"/>
  <c r="G29" i="2"/>
  <c r="L28" i="2"/>
  <c r="M28" i="2"/>
  <c r="N28" i="2"/>
  <c r="C28" i="2"/>
  <c r="O28" i="2"/>
  <c r="D28" i="2"/>
  <c r="P28" i="2"/>
  <c r="E28" i="2"/>
  <c r="Q28" i="2"/>
  <c r="F28" i="2"/>
  <c r="R28" i="2"/>
  <c r="G28" i="2"/>
  <c r="H28" i="2"/>
  <c r="I28" i="2"/>
  <c r="J28" i="2"/>
  <c r="K28" i="2"/>
  <c r="U28" i="2" l="1"/>
  <c r="T28" i="2"/>
  <c r="V28" i="2"/>
  <c r="S27" i="2"/>
  <c r="S28" i="2"/>
  <c r="V27" i="2"/>
  <c r="T27" i="2"/>
  <c r="U27" i="2"/>
  <c r="S33" i="2"/>
  <c r="V33" i="2"/>
  <c r="T33" i="2"/>
  <c r="U33" i="2"/>
  <c r="U31" i="2"/>
  <c r="T31" i="2"/>
  <c r="V31" i="2"/>
  <c r="S31" i="2"/>
  <c r="U32" i="2"/>
  <c r="T32" i="2"/>
  <c r="V32" i="2"/>
  <c r="S32" i="2"/>
  <c r="T29" i="2"/>
  <c r="U29" i="2"/>
  <c r="S29" i="2"/>
  <c r="V29" i="2"/>
  <c r="T30" i="2"/>
  <c r="U30" i="2"/>
  <c r="V30" i="2"/>
  <c r="S30" i="2"/>
  <c r="T34" i="2"/>
  <c r="S34" i="2"/>
  <c r="U34" i="2"/>
  <c r="V34" i="2"/>
  <c r="A32" i="2" l="1"/>
  <c r="A34" i="2"/>
  <c r="A29" i="2"/>
  <c r="A33" i="2"/>
  <c r="A28" i="2"/>
  <c r="A30" i="2"/>
  <c r="A31" i="2"/>
  <c r="A27" i="2"/>
  <c r="C42" i="2" l="1"/>
  <c r="G6" i="3" s="1"/>
  <c r="C43" i="2"/>
  <c r="G5" i="3" s="1"/>
  <c r="C44" i="2"/>
  <c r="G4" i="3" s="1"/>
  <c r="C37" i="2"/>
  <c r="B38" i="2"/>
  <c r="B39" i="2"/>
  <c r="B40" i="2"/>
  <c r="B41" i="2"/>
  <c r="C38" i="2"/>
  <c r="C5" i="3" s="1"/>
  <c r="B42" i="2"/>
  <c r="B37" i="2"/>
  <c r="C39" i="2"/>
  <c r="C6" i="3" s="1"/>
  <c r="B43" i="2"/>
  <c r="C40" i="2"/>
  <c r="C7" i="3" s="1"/>
  <c r="B44" i="2"/>
  <c r="C41" i="2"/>
  <c r="G7" i="3" s="1"/>
  <c r="C4" i="3" l="1"/>
</calcChain>
</file>

<file path=xl/sharedStrings.xml><?xml version="1.0" encoding="utf-8"?>
<sst xmlns="http://schemas.openxmlformats.org/spreadsheetml/2006/main" count="1593" uniqueCount="102">
  <si>
    <t>Primeira Semana</t>
  </si>
  <si>
    <t>Grupo 1</t>
  </si>
  <si>
    <t>Data</t>
  </si>
  <si>
    <t>Hora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</si>
  <si>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</si>
  <si>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</si>
  <si>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</si>
  <si>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</si>
  <si>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</si>
  <si>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</si>
  <si>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</si>
  <si>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</si>
  <si>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</si>
  <si>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</si>
  <si>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</si>
  <si>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</si>
  <si>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</si>
  <si>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</si>
  <si>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</si>
  <si>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</si>
  <si>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</si>
  <si>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</si>
  <si>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</si>
  <si>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</si>
  <si>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</si>
  <si>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</si>
  <si>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</si>
  <si>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</si>
  <si>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</si>
  <si>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</si>
  <si>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</si>
  <si>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</si>
  <si>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</si>
  <si>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</si>
  <si>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</si>
  <si>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</si>
  <si>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</si>
  <si>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</si>
  <si>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</si>
  <si>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</si>
  <si>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</si>
  <si>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</si>
  <si>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</si>
  <si>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</si>
  <si>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</si>
  <si>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</si>
  <si>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</si>
  <si>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</si>
  <si>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</si>
  <si>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</si>
  <si>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</si>
  <si>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</si>
  <si>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</si>
  <si>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</si>
  <si>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</si>
  <si>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</si>
  <si>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</si>
  <si>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</si>
  <si>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</si>
  <si>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</si>
  <si>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</si>
  <si>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</si>
  <si>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</si>
  <si>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</si>
  <si>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</si>
  <si>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</si>
  <si>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</si>
  <si>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</si>
  <si>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</si>
  <si>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</si>
  <si>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</si>
  <si>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</si>
  <si>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</si>
  <si>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</si>
  <si>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</si>
  <si>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</si>
  <si>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</si>
  <si>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</si>
  <si>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</si>
  <si>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</si>
  <si>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</si>
  <si>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</si>
  <si>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</si>
  <si>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</si>
  <si>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</si>
  <si>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Q1</t>
  </si>
  <si>
    <t>Q2</t>
  </si>
  <si>
    <t>Q3</t>
  </si>
  <si>
    <t>Q4</t>
  </si>
  <si>
    <t>3º</t>
  </si>
  <si>
    <t>1º</t>
  </si>
  <si>
    <t>S1</t>
  </si>
  <si>
    <t>S2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</si>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</sst>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,000"/>
    <numFmt numFmtId="165" formatCode="[$-416]d\-mmm;@"/>
    <numFmt numFmtId="166" formatCode="h:mm;@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  <xf numFmtId="166" fontId="1" fillId="4" borderId="1" xfId="0" applyNumberFormat="1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79"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:Z9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61" t="s">
        <v>15</v>
      </c>
      <c r="E1" s="61"/>
      <c r="F1" s="61"/>
      <c r="G1" s="61" t="s">
        <v>61</v>
      </c>
      <c r="H1" s="61"/>
      <c r="I1" s="61"/>
      <c r="J1" s="61"/>
      <c r="K1" s="61"/>
      <c r="L1" s="61"/>
      <c r="M1" s="61" t="s">
        <v>62</v>
      </c>
      <c r="N1" s="61"/>
      <c r="O1" s="61"/>
      <c r="P1" s="61" t="s">
        <v>63</v>
      </c>
      <c r="Q1" s="61"/>
      <c r="R1" s="61"/>
      <c r="S1" s="61" t="s">
        <v>64</v>
      </c>
      <c r="T1" s="61"/>
      <c r="U1" s="61"/>
      <c r="V1" s="61"/>
      <c r="W1" s="61"/>
      <c r="Y1" s="1" t="s">
        <v>94</v>
      </c>
      <c r="Z1" s="1" t="s">
        <v>41</v>
      </c>
    </row>
    <row r="2" spans="1:27" s="2" customFormat="1" x14ac:dyDescent="0.25">
      <c r="A2" s="2" t="s">
        <v>44</v>
      </c>
      <c r="B2" s="2" t="s">
        <v>45</v>
      </c>
      <c r="C2" s="2" t="s">
        <v>46</v>
      </c>
      <c r="D2" s="2" t="s">
        <v>11</v>
      </c>
      <c r="E2" s="2" t="s">
        <v>21</v>
      </c>
      <c r="F2" s="2" t="s">
        <v>26</v>
      </c>
      <c r="G2" s="3" t="s">
        <v>16</v>
      </c>
      <c r="H2" s="3" t="s">
        <v>18</v>
      </c>
      <c r="I2" s="3" t="s">
        <v>17</v>
      </c>
      <c r="J2" s="3" t="s">
        <v>27</v>
      </c>
      <c r="K2" s="3" t="s">
        <v>28</v>
      </c>
      <c r="L2" s="3" t="s">
        <v>29</v>
      </c>
      <c r="M2" s="2" t="s">
        <v>19</v>
      </c>
      <c r="N2" s="2" t="s">
        <v>20</v>
      </c>
      <c r="O2" s="2" t="s">
        <v>47</v>
      </c>
      <c r="P2" s="2" t="s">
        <v>48</v>
      </c>
      <c r="Q2" s="2" t="s">
        <v>22</v>
      </c>
      <c r="R2" s="2" t="s">
        <v>47</v>
      </c>
      <c r="S2" s="2" t="s">
        <v>63</v>
      </c>
      <c r="T2" s="2" t="s">
        <v>65</v>
      </c>
      <c r="U2" s="2" t="s">
        <v>66</v>
      </c>
      <c r="V2" s="2" t="s">
        <v>68</v>
      </c>
      <c r="W2" s="2" t="s">
        <v>67</v>
      </c>
    </row>
    <row r="3" spans="1:27" x14ac:dyDescent="0.25">
      <c r="A3" s="1">
        <f>RANK(E3,$E$3:$E$20)+SUM(S3:V3)</f>
        <v>1</v>
      </c>
      <c r="B3" s="1" t="s">
        <v>43</v>
      </c>
      <c r="C3" s="1">
        <f>SUM(G3*3,H3*3,I3*2,J3)</f>
        <v>0</v>
      </c>
      <c r="D3" s="1">
        <f>E3+F3</f>
        <v>0</v>
      </c>
      <c r="E3" s="1">
        <f>COUNTIF(Jogos!AC:AC,Dummy!B3)</f>
        <v>0</v>
      </c>
      <c r="F3" s="1">
        <f>COUNTIF(Jogos!AM:AM,Dummy!B3)</f>
        <v>0</v>
      </c>
      <c r="G3" s="1">
        <f>SUMIF(Jogos!$AC:$AC,Dummy!$B3,Jogos!AG:AG)</f>
        <v>0</v>
      </c>
      <c r="H3" s="1">
        <f>SUMIF(Jogos!$AC:$AC,Dummy!$B3,Jogos!AH:AH)</f>
        <v>0</v>
      </c>
      <c r="I3" s="1">
        <f>SUMIF(Jogos!$AC:$AC,Dummy!$B3,Jogos!AI:AI)</f>
        <v>0</v>
      </c>
      <c r="J3" s="1">
        <f>SUMIF(Jogos!$AM:$AM,Dummy!$B3,Jogos!AQ:AQ)</f>
        <v>0</v>
      </c>
      <c r="K3" s="1">
        <f>SUMIF(Jogos!$AM:$AM,Dummy!$B3,Jogos!AR:AR)</f>
        <v>0</v>
      </c>
      <c r="L3" s="1">
        <f>SUMIF(Jogos!$AM:$AM,Dummy!$B3,Jogos!AS:AS)</f>
        <v>0</v>
      </c>
      <c r="M3" s="1">
        <f>SUMIF(Jogos!AC:AC,B3,Jogos!AE:AE)+SUMIF(Jogos!AM:AM,B3,Jogos!AO:AO)</f>
        <v>0</v>
      </c>
      <c r="N3" s="1">
        <f>SUMIF(Jogos!AC:AC,B3,Jogos!AF:AF)+SUMIF(Jogos!AM:AM,B3,Jogos!AP:AP)</f>
        <v>0</v>
      </c>
      <c r="O3" s="15" t="str">
        <f>IFERROR((M3/N3)*1000,"MAX")</f>
        <v>MAX</v>
      </c>
      <c r="P3" s="1">
        <f>SUMIF(Jogos!AC:AC,B3,Jogos!AJ:AJ)+SUMIF(Jogos!AM:AM,B3,Jogos!AT:AT)</f>
        <v>0</v>
      </c>
      <c r="Q3" s="1">
        <f>SUMIF(Jogos!AC:AC,B3,Jogos!AK:AK)+SUMIF(Jogos!AM:AM,B3,Jogos!AU:AU)</f>
        <v>0</v>
      </c>
      <c r="R3" s="15" t="str">
        <f t="shared" ref="R3:R20" si="0">IFERROR((P3/Q3)*1000,"MAX")</f>
        <v>MAX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0</v>
      </c>
    </row>
    <row r="4" spans="1:27" x14ac:dyDescent="0.25">
      <c r="A4" s="1">
        <f t="shared" ref="A4:A20" si="1">RANK(E4,$E$3:$E$20)+SUM(S4:V4)</f>
        <v>2</v>
      </c>
      <c r="B4" s="1" t="s">
        <v>49</v>
      </c>
      <c r="C4" s="1">
        <f t="shared" ref="C4:C20" si="2">SUM(G4*3,H4*3,I4*2,J4)</f>
        <v>0</v>
      </c>
      <c r="D4" s="1">
        <f t="shared" ref="D4:D20" si="3">E4+F4</f>
        <v>0</v>
      </c>
      <c r="E4" s="1">
        <f>COUNTIF(Jogos!AC:AC,Dummy!B4)</f>
        <v>0</v>
      </c>
      <c r="F4" s="1">
        <f>COUNTIF(Jogos!AM:AM,Dummy!B4)</f>
        <v>0</v>
      </c>
      <c r="G4" s="1">
        <f>SUMIF(Jogos!$AC:$AC,Dummy!$B4,Jogos!AG:AG)</f>
        <v>0</v>
      </c>
      <c r="H4" s="1">
        <f>SUMIF(Jogos!$AC:$AC,Dummy!$B4,Jogos!AH:AH)</f>
        <v>0</v>
      </c>
      <c r="I4" s="1">
        <f>SUMIF(Jogos!$AC:$AC,Dummy!$B4,Jogos!AI:AI)</f>
        <v>0</v>
      </c>
      <c r="J4" s="1">
        <f>SUMIF(Jogos!$AM:$AM,Dummy!$B4,Jogos!AQ:AQ)</f>
        <v>0</v>
      </c>
      <c r="K4" s="1">
        <f>SUMIF(Jogos!$AM:$AM,Dummy!$B4,Jogos!AR:AR)</f>
        <v>0</v>
      </c>
      <c r="L4" s="1">
        <f>SUMIF(Jogos!$AM:$AM,Dummy!$B4,Jogos!AS:AS)</f>
        <v>0</v>
      </c>
      <c r="M4" s="1">
        <f>SUMIF(Jogos!AC:AC,B4,Jogos!AE:AE)+SUMIF(Jogos!AM:AM,B4,Jogos!AO:AO)</f>
        <v>0</v>
      </c>
      <c r="N4" s="1">
        <f>SUMIF(Jogos!AC:AC,B4,Jogos!AF:AF)+SUMIF(Jogos!AM:AM,B4,Jogos!AP:AP)</f>
        <v>0</v>
      </c>
      <c r="O4" s="15" t="str">
        <f t="shared" ref="O4:O20" si="4">IFERROR((M4/N4)*1000,"MAX")</f>
        <v>MAX</v>
      </c>
      <c r="P4" s="1">
        <f>SUMIF(Jogos!AC:AC,B4,Jogos!AJ:AJ)+SUMIF(Jogos!AM:AM,B4,Jogos!AT:AT)</f>
        <v>0</v>
      </c>
      <c r="Q4" s="1">
        <f>SUMIF(Jogos!AC:AC,B4,Jogos!AK:AK)+SUMIF(Jogos!AM:AM,B4,Jogos!AU:AU)</f>
        <v>0</v>
      </c>
      <c r="R4" s="15" t="str">
        <f t="shared" si="0"/>
        <v>MAX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1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3</v>
      </c>
      <c r="B5" s="1" t="s">
        <v>50</v>
      </c>
      <c r="C5" s="1">
        <f t="shared" si="2"/>
        <v>0</v>
      </c>
      <c r="D5" s="1">
        <f t="shared" si="3"/>
        <v>0</v>
      </c>
      <c r="E5" s="1">
        <f>COUNTIF(Jogos!AC:AC,Dummy!B5)</f>
        <v>0</v>
      </c>
      <c r="F5" s="1">
        <f>COUNTIF(Jogos!AM:AM,Dummy!B5)</f>
        <v>0</v>
      </c>
      <c r="G5" s="1">
        <f>SUMIF(Jogos!$AC:$AC,Dummy!$B5,Jogos!AG:AG)</f>
        <v>0</v>
      </c>
      <c r="H5" s="1">
        <f>SUMIF(Jogos!$AC:$AC,Dummy!$B5,Jogos!AH:AH)</f>
        <v>0</v>
      </c>
      <c r="I5" s="1">
        <f>SUMIF(Jogos!$AC:$AC,Dummy!$B5,Jogos!AI:AI)</f>
        <v>0</v>
      </c>
      <c r="J5" s="1">
        <f>SUMIF(Jogos!$AM:$AM,Dummy!$B5,Jogos!AQ:AQ)</f>
        <v>0</v>
      </c>
      <c r="K5" s="1">
        <f>SUMIF(Jogos!$AM:$AM,Dummy!$B5,Jogos!AR:AR)</f>
        <v>0</v>
      </c>
      <c r="L5" s="1">
        <f>SUMIF(Jogos!$AM:$AM,Dummy!$B5,Jogos!AS:AS)</f>
        <v>0</v>
      </c>
      <c r="M5" s="1">
        <f>SUMIF(Jogos!AC:AC,B5,Jogos!AE:AE)+SUMIF(Jogos!AM:AM,B5,Jogos!AO:AO)</f>
        <v>0</v>
      </c>
      <c r="N5" s="1">
        <f>SUMIF(Jogos!AC:AC,B5,Jogos!AF:AF)+SUMIF(Jogos!AM:AM,B5,Jogos!AP:AP)</f>
        <v>0</v>
      </c>
      <c r="O5" s="15" t="str">
        <f t="shared" si="4"/>
        <v>MAX</v>
      </c>
      <c r="P5" s="1">
        <f>SUMIF(Jogos!AC:AC,B5,Jogos!AJ:AJ)+SUMIF(Jogos!AM:AM,B5,Jogos!AT:AT)</f>
        <v>0</v>
      </c>
      <c r="Q5" s="1">
        <f>SUMIF(Jogos!AC:AC,B5,Jogos!AK:AK)+SUMIF(Jogos!AM:AM,B5,Jogos!AU:AU)</f>
        <v>0</v>
      </c>
      <c r="R5" s="15" t="str">
        <f t="shared" si="0"/>
        <v>MAX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2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4</v>
      </c>
      <c r="B6" s="1" t="s">
        <v>51</v>
      </c>
      <c r="C6" s="1">
        <f t="shared" si="2"/>
        <v>0</v>
      </c>
      <c r="D6" s="1">
        <f t="shared" si="3"/>
        <v>0</v>
      </c>
      <c r="E6" s="1">
        <f>COUNTIF(Jogos!AC:AC,Dummy!B6)</f>
        <v>0</v>
      </c>
      <c r="F6" s="1">
        <f>COUNTIF(Jogos!AM:AM,Dummy!B6)</f>
        <v>0</v>
      </c>
      <c r="G6" s="1">
        <f>SUMIF(Jogos!$AC:$AC,Dummy!$B6,Jogos!AG:AG)</f>
        <v>0</v>
      </c>
      <c r="H6" s="1">
        <f>SUMIF(Jogos!$AC:$AC,Dummy!$B6,Jogos!AH:AH)</f>
        <v>0</v>
      </c>
      <c r="I6" s="1">
        <f>SUMIF(Jogos!$AC:$AC,Dummy!$B6,Jogos!AI:AI)</f>
        <v>0</v>
      </c>
      <c r="J6" s="1">
        <f>SUMIF(Jogos!$AM:$AM,Dummy!$B6,Jogos!AQ:AQ)</f>
        <v>0</v>
      </c>
      <c r="K6" s="1">
        <f>SUMIF(Jogos!$AM:$AM,Dummy!$B6,Jogos!AR:AR)</f>
        <v>0</v>
      </c>
      <c r="L6" s="1">
        <f>SUMIF(Jogos!$AM:$AM,Dummy!$B6,Jogos!AS:AS)</f>
        <v>0</v>
      </c>
      <c r="M6" s="1">
        <f>SUMIF(Jogos!AC:AC,B6,Jogos!AE:AE)+SUMIF(Jogos!AM:AM,B6,Jogos!AO:AO)</f>
        <v>0</v>
      </c>
      <c r="N6" s="1">
        <f>SUMIF(Jogos!AC:AC,B6,Jogos!AF:AF)+SUMIF(Jogos!AM:AM,B6,Jogos!AP:AP)</f>
        <v>0</v>
      </c>
      <c r="O6" s="15" t="str">
        <f t="shared" si="4"/>
        <v>MAX</v>
      </c>
      <c r="P6" s="1">
        <f>SUMIF(Jogos!AC:AC,B6,Jogos!AJ:AJ)+SUMIF(Jogos!AM:AM,B6,Jogos!AT:AT)</f>
        <v>0</v>
      </c>
      <c r="Q6" s="1">
        <f>SUMIF(Jogos!AC:AC,B6,Jogos!AK:AK)+SUMIF(Jogos!AM:AM,B6,Jogos!AU:AU)</f>
        <v>0</v>
      </c>
      <c r="R6" s="15" t="str">
        <f t="shared" si="0"/>
        <v>MAX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3</v>
      </c>
      <c r="W6" s="1">
        <v>3</v>
      </c>
      <c r="Y6" s="1">
        <v>4</v>
      </c>
      <c r="Z6" s="1">
        <f t="shared" si="9"/>
        <v>4</v>
      </c>
    </row>
    <row r="7" spans="1:27" x14ac:dyDescent="0.25">
      <c r="A7" s="1">
        <f t="shared" si="1"/>
        <v>5</v>
      </c>
      <c r="B7" s="1" t="s">
        <v>52</v>
      </c>
      <c r="C7" s="1">
        <f t="shared" si="2"/>
        <v>0</v>
      </c>
      <c r="D7" s="1">
        <f t="shared" si="3"/>
        <v>0</v>
      </c>
      <c r="E7" s="1">
        <f>COUNTIF(Jogos!AC:AC,Dummy!B7)</f>
        <v>0</v>
      </c>
      <c r="F7" s="1">
        <f>COUNTIF(Jogos!AM:AM,Dummy!B7)</f>
        <v>0</v>
      </c>
      <c r="G7" s="1">
        <f>SUMIF(Jogos!$AC:$AC,Dummy!$B7,Jogos!AG:AG)</f>
        <v>0</v>
      </c>
      <c r="H7" s="1">
        <f>SUMIF(Jogos!$AC:$AC,Dummy!$B7,Jogos!AH:AH)</f>
        <v>0</v>
      </c>
      <c r="I7" s="1">
        <f>SUMIF(Jogos!$AC:$AC,Dummy!$B7,Jogos!AI:AI)</f>
        <v>0</v>
      </c>
      <c r="J7" s="1">
        <f>SUMIF(Jogos!$AM:$AM,Dummy!$B7,Jogos!AQ:AQ)</f>
        <v>0</v>
      </c>
      <c r="K7" s="1">
        <f>SUMIF(Jogos!$AM:$AM,Dummy!$B7,Jogos!AR:AR)</f>
        <v>0</v>
      </c>
      <c r="L7" s="1">
        <f>SUMIF(Jogos!$AM:$AM,Dummy!$B7,Jogos!AS:AS)</f>
        <v>0</v>
      </c>
      <c r="M7" s="1">
        <f>SUMIF(Jogos!AC:AC,B7,Jogos!AE:AE)+SUMIF(Jogos!AM:AM,B7,Jogos!AO:AO)</f>
        <v>0</v>
      </c>
      <c r="N7" s="1">
        <f>SUMIF(Jogos!AC:AC,B7,Jogos!AF:AF)+SUMIF(Jogos!AM:AM,B7,Jogos!AP:AP)</f>
        <v>0</v>
      </c>
      <c r="O7" s="15" t="str">
        <f t="shared" si="4"/>
        <v>MAX</v>
      </c>
      <c r="P7" s="1">
        <f>SUMIF(Jogos!AC:AC,B7,Jogos!AJ:AJ)+SUMIF(Jogos!AM:AM,B7,Jogos!AT:AT)</f>
        <v>0</v>
      </c>
      <c r="Q7" s="1">
        <f>SUMIF(Jogos!AC:AC,B7,Jogos!AK:AK)+SUMIF(Jogos!AM:AM,B7,Jogos!AU:AU)</f>
        <v>0</v>
      </c>
      <c r="R7" s="15" t="str">
        <f t="shared" si="0"/>
        <v>MAX</v>
      </c>
      <c r="S7" s="1">
        <f t="shared" si="5"/>
        <v>0</v>
      </c>
      <c r="T7" s="1">
        <f t="shared" si="6"/>
        <v>0</v>
      </c>
      <c r="U7" s="1">
        <f t="shared" si="7"/>
        <v>0</v>
      </c>
      <c r="V7" s="1">
        <f t="shared" si="8"/>
        <v>4</v>
      </c>
      <c r="W7" s="1">
        <v>4</v>
      </c>
      <c r="Y7" s="1">
        <v>5</v>
      </c>
      <c r="Z7" s="1">
        <f t="shared" si="9"/>
        <v>5</v>
      </c>
    </row>
    <row r="8" spans="1:27" x14ac:dyDescent="0.25">
      <c r="A8" s="1">
        <f t="shared" si="1"/>
        <v>6</v>
      </c>
      <c r="B8" s="1" t="s">
        <v>60</v>
      </c>
      <c r="C8" s="1">
        <f t="shared" si="2"/>
        <v>0</v>
      </c>
      <c r="D8" s="1">
        <f t="shared" si="3"/>
        <v>0</v>
      </c>
      <c r="E8" s="1">
        <f>COUNTIF(Jogos!AC:AC,Dummy!B8)</f>
        <v>0</v>
      </c>
      <c r="F8" s="1">
        <f>COUNTIF(Jogos!AM:AM,Dummy!B8)</f>
        <v>0</v>
      </c>
      <c r="G8" s="1">
        <f>SUMIF(Jogos!$AC:$AC,Dummy!$B8,Jogos!AG:AG)</f>
        <v>0</v>
      </c>
      <c r="H8" s="1">
        <f>SUMIF(Jogos!$AC:$AC,Dummy!$B8,Jogos!AH:AH)</f>
        <v>0</v>
      </c>
      <c r="I8" s="1">
        <f>SUMIF(Jogos!$AC:$AC,Dummy!$B8,Jogos!AI:AI)</f>
        <v>0</v>
      </c>
      <c r="J8" s="1">
        <f>SUMIF(Jogos!$AM:$AM,Dummy!$B8,Jogos!AQ:AQ)</f>
        <v>0</v>
      </c>
      <c r="K8" s="1">
        <f>SUMIF(Jogos!$AM:$AM,Dummy!$B8,Jogos!AR:AR)</f>
        <v>0</v>
      </c>
      <c r="L8" s="1">
        <f>SUMIF(Jogos!$AM:$AM,Dummy!$B8,Jogos!AS:AS)</f>
        <v>0</v>
      </c>
      <c r="M8" s="1">
        <f>SUMIF(Jogos!AC:AC,B8,Jogos!AE:AE)+SUMIF(Jogos!AM:AM,B8,Jogos!AO:AO)</f>
        <v>0</v>
      </c>
      <c r="N8" s="1">
        <f>SUMIF(Jogos!AC:AC,B8,Jogos!AF:AF)+SUMIF(Jogos!AM:AM,B8,Jogos!AP:AP)</f>
        <v>0</v>
      </c>
      <c r="O8" s="15" t="str">
        <f t="shared" si="4"/>
        <v>MAX</v>
      </c>
      <c r="P8" s="1">
        <f>SUMIF(Jogos!AC:AC,B8,Jogos!AJ:AJ)+SUMIF(Jogos!AM:AM,B8,Jogos!AT:AT)</f>
        <v>0</v>
      </c>
      <c r="Q8" s="1">
        <f>SUMIF(Jogos!AC:AC,B8,Jogos!AK:AK)+SUMIF(Jogos!AM:AM,B8,Jogos!AU:AU)</f>
        <v>0</v>
      </c>
      <c r="R8" s="15" t="str">
        <f t="shared" si="0"/>
        <v>MAX</v>
      </c>
      <c r="S8" s="1">
        <f t="shared" si="5"/>
        <v>0</v>
      </c>
      <c r="T8" s="1">
        <f t="shared" si="6"/>
        <v>0</v>
      </c>
      <c r="U8" s="1">
        <f t="shared" si="7"/>
        <v>0</v>
      </c>
      <c r="V8" s="1">
        <f t="shared" si="8"/>
        <v>5</v>
      </c>
      <c r="W8" s="1">
        <v>5</v>
      </c>
      <c r="Y8" s="1">
        <v>6</v>
      </c>
      <c r="Z8" s="1">
        <f t="shared" si="9"/>
        <v>6</v>
      </c>
    </row>
    <row r="9" spans="1:27" x14ac:dyDescent="0.25">
      <c r="A9" s="1">
        <f t="shared" si="1"/>
        <v>7</v>
      </c>
      <c r="B9" s="1" t="s">
        <v>54</v>
      </c>
      <c r="C9" s="1">
        <f t="shared" si="2"/>
        <v>0</v>
      </c>
      <c r="D9" s="1">
        <f t="shared" si="3"/>
        <v>0</v>
      </c>
      <c r="E9" s="1">
        <f>COUNTIF(Jogos!AC:AC,Dummy!B9)</f>
        <v>0</v>
      </c>
      <c r="F9" s="1">
        <f>COUNTIF(Jogos!AM:AM,Dummy!B9)</f>
        <v>0</v>
      </c>
      <c r="G9" s="1">
        <f>SUMIF(Jogos!$AC:$AC,Dummy!$B9,Jogos!AG:AG)</f>
        <v>0</v>
      </c>
      <c r="H9" s="1">
        <f>SUMIF(Jogos!$AC:$AC,Dummy!$B9,Jogos!AH:AH)</f>
        <v>0</v>
      </c>
      <c r="I9" s="1">
        <f>SUMIF(Jogos!$AC:$AC,Dummy!$B9,Jogos!AI:AI)</f>
        <v>0</v>
      </c>
      <c r="J9" s="1">
        <f>SUMIF(Jogos!$AM:$AM,Dummy!$B9,Jogos!AQ:AQ)</f>
        <v>0</v>
      </c>
      <c r="K9" s="1">
        <f>SUMIF(Jogos!$AM:$AM,Dummy!$B9,Jogos!AR:AR)</f>
        <v>0</v>
      </c>
      <c r="L9" s="1">
        <f>SUMIF(Jogos!$AM:$AM,Dummy!$B9,Jogos!AS:AS)</f>
        <v>0</v>
      </c>
      <c r="M9" s="1">
        <f>SUMIF(Jogos!AC:AC,B9,Jogos!AE:AE)+SUMIF(Jogos!AM:AM,B9,Jogos!AO:AO)</f>
        <v>0</v>
      </c>
      <c r="N9" s="1">
        <f>SUMIF(Jogos!AC:AC,B9,Jogos!AF:AF)+SUMIF(Jogos!AM:AM,B9,Jogos!AP:AP)</f>
        <v>0</v>
      </c>
      <c r="O9" s="15" t="str">
        <f t="shared" si="4"/>
        <v>MAX</v>
      </c>
      <c r="P9" s="1">
        <f>SUMIF(Jogos!AC:AC,B9,Jogos!AJ:AJ)+SUMIF(Jogos!AM:AM,B9,Jogos!AT:AT)</f>
        <v>0</v>
      </c>
      <c r="Q9" s="1">
        <f>SUMIF(Jogos!AC:AC,B9,Jogos!AK:AK)+SUMIF(Jogos!AM:AM,B9,Jogos!AU:AU)</f>
        <v>0</v>
      </c>
      <c r="R9" s="15" t="str">
        <f t="shared" si="0"/>
        <v>MAX</v>
      </c>
      <c r="S9" s="1">
        <f t="shared" si="5"/>
        <v>0</v>
      </c>
      <c r="T9" s="1">
        <f t="shared" si="6"/>
        <v>0</v>
      </c>
      <c r="U9" s="1">
        <f t="shared" si="7"/>
        <v>0</v>
      </c>
      <c r="V9" s="1">
        <f t="shared" si="8"/>
        <v>6</v>
      </c>
      <c r="W9" s="1">
        <v>6</v>
      </c>
      <c r="Y9" s="1">
        <v>7</v>
      </c>
      <c r="Z9" s="1">
        <f t="shared" si="9"/>
        <v>7</v>
      </c>
    </row>
    <row r="10" spans="1:27" x14ac:dyDescent="0.25">
      <c r="A10" s="1">
        <f t="shared" si="1"/>
        <v>8</v>
      </c>
      <c r="B10" s="1" t="s">
        <v>55</v>
      </c>
      <c r="C10" s="1">
        <f t="shared" si="2"/>
        <v>0</v>
      </c>
      <c r="D10" s="1">
        <f t="shared" si="3"/>
        <v>0</v>
      </c>
      <c r="E10" s="1">
        <f>COUNTIF(Jogos!AC:AC,Dummy!B10)</f>
        <v>0</v>
      </c>
      <c r="F10" s="1">
        <f>COUNTIF(Jogos!AM:AM,Dummy!B10)</f>
        <v>0</v>
      </c>
      <c r="G10" s="1">
        <f>SUMIF(Jogos!$AC:$AC,Dummy!$B10,Jogos!AG:AG)</f>
        <v>0</v>
      </c>
      <c r="H10" s="1">
        <f>SUMIF(Jogos!$AC:$AC,Dummy!$B10,Jogos!AH:AH)</f>
        <v>0</v>
      </c>
      <c r="I10" s="1">
        <f>SUMIF(Jogos!$AC:$AC,Dummy!$B10,Jogos!AI:AI)</f>
        <v>0</v>
      </c>
      <c r="J10" s="1">
        <f>SUMIF(Jogos!$AM:$AM,Dummy!$B10,Jogos!AQ:AQ)</f>
        <v>0</v>
      </c>
      <c r="K10" s="1">
        <f>SUMIF(Jogos!$AM:$AM,Dummy!$B10,Jogos!AR:AR)</f>
        <v>0</v>
      </c>
      <c r="L10" s="1">
        <f>SUMIF(Jogos!$AM:$AM,Dummy!$B10,Jogos!AS:AS)</f>
        <v>0</v>
      </c>
      <c r="M10" s="1">
        <f>SUMIF(Jogos!AC:AC,B10,Jogos!AE:AE)+SUMIF(Jogos!AM:AM,B10,Jogos!AO:AO)</f>
        <v>0</v>
      </c>
      <c r="N10" s="1">
        <f>SUMIF(Jogos!AC:AC,B10,Jogos!AF:AF)+SUMIF(Jogos!AM:AM,B10,Jogos!AP:AP)</f>
        <v>0</v>
      </c>
      <c r="O10" s="15" t="str">
        <f t="shared" si="4"/>
        <v>MAX</v>
      </c>
      <c r="P10" s="1">
        <f>SUMIF(Jogos!AC:AC,B10,Jogos!AJ:AJ)+SUMIF(Jogos!AM:AM,B10,Jogos!AT:AT)</f>
        <v>0</v>
      </c>
      <c r="Q10" s="1">
        <f>SUMIF(Jogos!AC:AC,B10,Jogos!AK:AK)+SUMIF(Jogos!AM:AM,B10,Jogos!AU:AU)</f>
        <v>0</v>
      </c>
      <c r="R10" s="15" t="str">
        <f t="shared" si="0"/>
        <v>MAX</v>
      </c>
      <c r="S10" s="1">
        <f t="shared" si="5"/>
        <v>0</v>
      </c>
      <c r="T10" s="1">
        <f t="shared" si="6"/>
        <v>0</v>
      </c>
      <c r="U10" s="1">
        <f t="shared" si="7"/>
        <v>0</v>
      </c>
      <c r="V10" s="1">
        <f t="shared" si="8"/>
        <v>7</v>
      </c>
      <c r="W10" s="1">
        <v>7</v>
      </c>
    </row>
    <row r="11" spans="1:27" x14ac:dyDescent="0.25">
      <c r="A11" s="1">
        <f t="shared" si="1"/>
        <v>9</v>
      </c>
      <c r="B11" s="1" t="s">
        <v>56</v>
      </c>
      <c r="C11" s="1">
        <f t="shared" si="2"/>
        <v>0</v>
      </c>
      <c r="D11" s="1">
        <f t="shared" si="3"/>
        <v>0</v>
      </c>
      <c r="E11" s="1">
        <f>COUNTIF(Jogos!AC:AC,Dummy!B11)</f>
        <v>0</v>
      </c>
      <c r="F11" s="1">
        <f>COUNTIF(Jogos!AM:AM,Dummy!B11)</f>
        <v>0</v>
      </c>
      <c r="G11" s="1">
        <f>SUMIF(Jogos!$AC:$AC,Dummy!$B11,Jogos!AG:AG)</f>
        <v>0</v>
      </c>
      <c r="H11" s="1">
        <f>SUMIF(Jogos!$AC:$AC,Dummy!$B11,Jogos!AH:AH)</f>
        <v>0</v>
      </c>
      <c r="I11" s="1">
        <f>SUMIF(Jogos!$AC:$AC,Dummy!$B11,Jogos!AI:AI)</f>
        <v>0</v>
      </c>
      <c r="J11" s="1">
        <f>SUMIF(Jogos!$AM:$AM,Dummy!$B11,Jogos!AQ:AQ)</f>
        <v>0</v>
      </c>
      <c r="K11" s="1">
        <f>SUMIF(Jogos!$AM:$AM,Dummy!$B11,Jogos!AR:AR)</f>
        <v>0</v>
      </c>
      <c r="L11" s="1">
        <f>SUMIF(Jogos!$AM:$AM,Dummy!$B11,Jogos!AS:AS)</f>
        <v>0</v>
      </c>
      <c r="M11" s="1">
        <f>SUMIF(Jogos!AC:AC,B11,Jogos!AE:AE)+SUMIF(Jogos!AM:AM,B11,Jogos!AO:AO)</f>
        <v>0</v>
      </c>
      <c r="N11" s="1">
        <f>SUMIF(Jogos!AC:AC,B11,Jogos!AF:AF)+SUMIF(Jogos!AM:AM,B11,Jogos!AP:AP)</f>
        <v>0</v>
      </c>
      <c r="O11" s="15" t="str">
        <f t="shared" si="4"/>
        <v>MAX</v>
      </c>
      <c r="P11" s="1">
        <f>SUMIF(Jogos!AC:AC,B11,Jogos!AJ:AJ)+SUMIF(Jogos!AM:AM,B11,Jogos!AT:AT)</f>
        <v>0</v>
      </c>
      <c r="Q11" s="1">
        <f>SUMIF(Jogos!AC:AC,B11,Jogos!AK:AK)+SUMIF(Jogos!AM:AM,B11,Jogos!AU:AU)</f>
        <v>0</v>
      </c>
      <c r="R11" s="15" t="str">
        <f t="shared" si="0"/>
        <v>MAX</v>
      </c>
      <c r="S11" s="1">
        <f t="shared" si="5"/>
        <v>0</v>
      </c>
      <c r="T11" s="1">
        <f t="shared" si="6"/>
        <v>0</v>
      </c>
      <c r="U11" s="1">
        <f t="shared" si="7"/>
        <v>0</v>
      </c>
      <c r="V11" s="1">
        <f t="shared" si="8"/>
        <v>8</v>
      </c>
      <c r="W11" s="1">
        <v>8</v>
      </c>
    </row>
    <row r="12" spans="1:27" x14ac:dyDescent="0.25">
      <c r="A12" s="1">
        <f t="shared" si="1"/>
        <v>10</v>
      </c>
      <c r="B12" s="1" t="s">
        <v>42</v>
      </c>
      <c r="C12" s="1">
        <f t="shared" si="2"/>
        <v>0</v>
      </c>
      <c r="D12" s="1">
        <f t="shared" si="3"/>
        <v>0</v>
      </c>
      <c r="E12" s="1">
        <f>COUNTIF(Jogos!AC:AC,Dummy!B12)</f>
        <v>0</v>
      </c>
      <c r="F12" s="1">
        <f>COUNTIF(Jogos!AM:AM,Dummy!B12)</f>
        <v>0</v>
      </c>
      <c r="G12" s="1">
        <f>SUMIF(Jogos!$AC:$AC,Dummy!$B12,Jogos!AG:AG)</f>
        <v>0</v>
      </c>
      <c r="H12" s="1">
        <f>SUMIF(Jogos!$AC:$AC,Dummy!$B12,Jogos!AH:AH)</f>
        <v>0</v>
      </c>
      <c r="I12" s="1">
        <f>SUMIF(Jogos!$AC:$AC,Dummy!$B12,Jogos!AI:AI)</f>
        <v>0</v>
      </c>
      <c r="J12" s="1">
        <f>SUMIF(Jogos!$AM:$AM,Dummy!$B12,Jogos!AQ:AQ)</f>
        <v>0</v>
      </c>
      <c r="K12" s="1">
        <f>SUMIF(Jogos!$AM:$AM,Dummy!$B12,Jogos!AR:AR)</f>
        <v>0</v>
      </c>
      <c r="L12" s="1">
        <f>SUMIF(Jogos!$AM:$AM,Dummy!$B12,Jogos!AS:AS)</f>
        <v>0</v>
      </c>
      <c r="M12" s="1">
        <f>SUMIF(Jogos!AC:AC,B12,Jogos!AE:AE)+SUMIF(Jogos!AM:AM,B12,Jogos!AO:AO)</f>
        <v>0</v>
      </c>
      <c r="N12" s="1">
        <f>SUMIF(Jogos!AC:AC,B12,Jogos!AF:AF)+SUMIF(Jogos!AM:AM,B12,Jogos!AP:AP)</f>
        <v>0</v>
      </c>
      <c r="O12" s="15" t="str">
        <f t="shared" si="4"/>
        <v>MAX</v>
      </c>
      <c r="P12" s="1">
        <f>SUMIF(Jogos!AC:AC,B12,Jogos!AJ:AJ)+SUMIF(Jogos!AM:AM,B12,Jogos!AT:AT)</f>
        <v>0</v>
      </c>
      <c r="Q12" s="1">
        <f>SUMIF(Jogos!AC:AC,B12,Jogos!AK:AK)+SUMIF(Jogos!AM:AM,B12,Jogos!AU:AU)</f>
        <v>0</v>
      </c>
      <c r="R12" s="15" t="str">
        <f t="shared" si="0"/>
        <v>MAX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9</v>
      </c>
      <c r="W12" s="1">
        <v>9</v>
      </c>
    </row>
    <row r="13" spans="1:27" x14ac:dyDescent="0.25">
      <c r="A13" s="1">
        <f t="shared" si="1"/>
        <v>11</v>
      </c>
      <c r="B13" s="1" t="s">
        <v>40</v>
      </c>
      <c r="C13" s="1">
        <f t="shared" si="2"/>
        <v>0</v>
      </c>
      <c r="D13" s="1">
        <f t="shared" si="3"/>
        <v>0</v>
      </c>
      <c r="E13" s="1">
        <f>COUNTIF(Jogos!AC:AC,Dummy!B13)</f>
        <v>0</v>
      </c>
      <c r="F13" s="1">
        <f>COUNTIF(Jogos!AM:AM,Dummy!B13)</f>
        <v>0</v>
      </c>
      <c r="G13" s="1">
        <f>SUMIF(Jogos!$AC:$AC,Dummy!$B13,Jogos!AG:AG)</f>
        <v>0</v>
      </c>
      <c r="H13" s="1">
        <f>SUMIF(Jogos!$AC:$AC,Dummy!$B13,Jogos!AH:AH)</f>
        <v>0</v>
      </c>
      <c r="I13" s="1">
        <f>SUMIF(Jogos!$AC:$AC,Dummy!$B13,Jogos!AI:AI)</f>
        <v>0</v>
      </c>
      <c r="J13" s="1">
        <f>SUMIF(Jogos!$AM:$AM,Dummy!$B13,Jogos!AQ:AQ)</f>
        <v>0</v>
      </c>
      <c r="K13" s="1">
        <f>SUMIF(Jogos!$AM:$AM,Dummy!$B13,Jogos!AR:AR)</f>
        <v>0</v>
      </c>
      <c r="L13" s="1">
        <f>SUMIF(Jogos!$AM:$AM,Dummy!$B13,Jogos!AS:AS)</f>
        <v>0</v>
      </c>
      <c r="M13" s="1">
        <f>SUMIF(Jogos!AC:AC,B13,Jogos!AE:AE)+SUMIF(Jogos!AM:AM,B13,Jogos!AO:AO)</f>
        <v>0</v>
      </c>
      <c r="N13" s="1">
        <f>SUMIF(Jogos!AC:AC,B13,Jogos!AF:AF)+SUMIF(Jogos!AM:AM,B13,Jogos!AP:AP)</f>
        <v>0</v>
      </c>
      <c r="O13" s="15" t="str">
        <f t="shared" si="4"/>
        <v>MAX</v>
      </c>
      <c r="P13" s="1">
        <f>SUMIF(Jogos!AC:AC,B13,Jogos!AJ:AJ)+SUMIF(Jogos!AM:AM,B13,Jogos!AT:AT)</f>
        <v>0</v>
      </c>
      <c r="Q13" s="1">
        <f>SUMIF(Jogos!AC:AC,B13,Jogos!AK:AK)+SUMIF(Jogos!AM:AM,B13,Jogos!AU:AU)</f>
        <v>0</v>
      </c>
      <c r="R13" s="15" t="str">
        <f t="shared" si="0"/>
        <v>MAX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10</v>
      </c>
      <c r="W13" s="1">
        <v>10</v>
      </c>
    </row>
    <row r="14" spans="1:27" x14ac:dyDescent="0.25">
      <c r="A14" s="1">
        <f t="shared" si="1"/>
        <v>12</v>
      </c>
      <c r="B14" s="1" t="s">
        <v>30</v>
      </c>
      <c r="C14" s="1">
        <f t="shared" si="2"/>
        <v>0</v>
      </c>
      <c r="D14" s="1">
        <f t="shared" si="3"/>
        <v>0</v>
      </c>
      <c r="E14" s="1">
        <f>COUNTIF(Jogos!AC:AC,Dummy!B14)</f>
        <v>0</v>
      </c>
      <c r="F14" s="1">
        <f>COUNTIF(Jogos!AM:AM,Dummy!B14)</f>
        <v>0</v>
      </c>
      <c r="G14" s="1">
        <f>SUMIF(Jogos!$AC:$AC,Dummy!$B14,Jogos!AG:AG)</f>
        <v>0</v>
      </c>
      <c r="H14" s="1">
        <f>SUMIF(Jogos!$AC:$AC,Dummy!$B14,Jogos!AH:AH)</f>
        <v>0</v>
      </c>
      <c r="I14" s="1">
        <f>SUMIF(Jogos!$AC:$AC,Dummy!$B14,Jogos!AI:AI)</f>
        <v>0</v>
      </c>
      <c r="J14" s="1">
        <f>SUMIF(Jogos!$AM:$AM,Dummy!$B14,Jogos!AQ:AQ)</f>
        <v>0</v>
      </c>
      <c r="K14" s="1">
        <f>SUMIF(Jogos!$AM:$AM,Dummy!$B14,Jogos!AR:AR)</f>
        <v>0</v>
      </c>
      <c r="L14" s="1">
        <f>SUMIF(Jogos!$AM:$AM,Dummy!$B14,Jogos!AS:AS)</f>
        <v>0</v>
      </c>
      <c r="M14" s="1">
        <f>SUMIF(Jogos!AC:AC,B14,Jogos!AE:AE)+SUMIF(Jogos!AM:AM,B14,Jogos!AO:AO)</f>
        <v>0</v>
      </c>
      <c r="N14" s="1">
        <f>SUMIF(Jogos!AC:AC,B14,Jogos!AF:AF)+SUMIF(Jogos!AM:AM,B14,Jogos!AP:AP)</f>
        <v>0</v>
      </c>
      <c r="O14" s="15" t="str">
        <f t="shared" si="4"/>
        <v>MAX</v>
      </c>
      <c r="P14" s="1">
        <f>SUMIF(Jogos!AC:AC,B14,Jogos!AJ:AJ)+SUMIF(Jogos!AM:AM,B14,Jogos!AT:AT)</f>
        <v>0</v>
      </c>
      <c r="Q14" s="1">
        <f>SUMIF(Jogos!AC:AC,B14,Jogos!AK:AK)+SUMIF(Jogos!AM:AM,B14,Jogos!AU:AU)</f>
        <v>0</v>
      </c>
      <c r="R14" s="15" t="str">
        <f t="shared" si="0"/>
        <v>MAX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11</v>
      </c>
      <c r="W14" s="1">
        <v>11</v>
      </c>
    </row>
    <row r="15" spans="1:27" x14ac:dyDescent="0.25">
      <c r="A15" s="1">
        <f t="shared" si="1"/>
        <v>13</v>
      </c>
      <c r="B15" s="1" t="s">
        <v>38</v>
      </c>
      <c r="C15" s="1">
        <f t="shared" si="2"/>
        <v>0</v>
      </c>
      <c r="D15" s="1">
        <f t="shared" si="3"/>
        <v>0</v>
      </c>
      <c r="E15" s="1">
        <f>COUNTIF(Jogos!AC:AC,Dummy!B15)</f>
        <v>0</v>
      </c>
      <c r="F15" s="1">
        <f>COUNTIF(Jogos!AM:AM,Dummy!B15)</f>
        <v>0</v>
      </c>
      <c r="G15" s="1">
        <f>SUMIF(Jogos!$AC:$AC,Dummy!$B15,Jogos!AG:AG)</f>
        <v>0</v>
      </c>
      <c r="H15" s="1">
        <f>SUMIF(Jogos!$AC:$AC,Dummy!$B15,Jogos!AH:AH)</f>
        <v>0</v>
      </c>
      <c r="I15" s="1">
        <f>SUMIF(Jogos!$AC:$AC,Dummy!$B15,Jogos!AI:AI)</f>
        <v>0</v>
      </c>
      <c r="J15" s="1">
        <f>SUMIF(Jogos!$AM:$AM,Dummy!$B15,Jogos!AQ:AQ)</f>
        <v>0</v>
      </c>
      <c r="K15" s="1">
        <f>SUMIF(Jogos!$AM:$AM,Dummy!$B15,Jogos!AR:AR)</f>
        <v>0</v>
      </c>
      <c r="L15" s="1">
        <f>SUMIF(Jogos!$AM:$AM,Dummy!$B15,Jogos!AS:AS)</f>
        <v>0</v>
      </c>
      <c r="M15" s="1">
        <f>SUMIF(Jogos!AC:AC,B15,Jogos!AE:AE)+SUMIF(Jogos!AM:AM,B15,Jogos!AO:AO)</f>
        <v>0</v>
      </c>
      <c r="N15" s="1">
        <f>SUMIF(Jogos!AC:AC,B15,Jogos!AF:AF)+SUMIF(Jogos!AM:AM,B15,Jogos!AP:AP)</f>
        <v>0</v>
      </c>
      <c r="O15" s="15" t="str">
        <f t="shared" si="4"/>
        <v>MAX</v>
      </c>
      <c r="P15" s="1">
        <f>SUMIF(Jogos!AC:AC,B15,Jogos!AJ:AJ)+SUMIF(Jogos!AM:AM,B15,Jogos!AT:AT)</f>
        <v>0</v>
      </c>
      <c r="Q15" s="1">
        <f>SUMIF(Jogos!AC:AC,B15,Jogos!AK:AK)+SUMIF(Jogos!AM:AM,B15,Jogos!AU:AU)</f>
        <v>0</v>
      </c>
      <c r="R15" s="15" t="str">
        <f t="shared" si="0"/>
        <v>MAX</v>
      </c>
      <c r="S15" s="1">
        <f t="shared" si="5"/>
        <v>0</v>
      </c>
      <c r="T15" s="1">
        <f t="shared" si="6"/>
        <v>0</v>
      </c>
      <c r="U15" s="1">
        <f t="shared" si="7"/>
        <v>0</v>
      </c>
      <c r="V15" s="1">
        <f t="shared" si="8"/>
        <v>12</v>
      </c>
      <c r="W15" s="1">
        <v>12</v>
      </c>
    </row>
    <row r="16" spans="1:27" x14ac:dyDescent="0.25">
      <c r="A16" s="1">
        <f t="shared" si="1"/>
        <v>14</v>
      </c>
      <c r="B16" s="1" t="s">
        <v>41</v>
      </c>
      <c r="C16" s="1">
        <f t="shared" si="2"/>
        <v>0</v>
      </c>
      <c r="D16" s="1">
        <f t="shared" si="3"/>
        <v>0</v>
      </c>
      <c r="E16" s="1">
        <f>COUNTIF(Jogos!AC:AC,Dummy!B16)</f>
        <v>0</v>
      </c>
      <c r="F16" s="1">
        <f>COUNTIF(Jogos!AM:AM,Dummy!B16)</f>
        <v>0</v>
      </c>
      <c r="G16" s="1">
        <f>SUMIF(Jogos!$AC:$AC,Dummy!$B16,Jogos!AG:AG)</f>
        <v>0</v>
      </c>
      <c r="H16" s="1">
        <f>SUMIF(Jogos!$AC:$AC,Dummy!$B16,Jogos!AH:AH)</f>
        <v>0</v>
      </c>
      <c r="I16" s="1">
        <f>SUMIF(Jogos!$AC:$AC,Dummy!$B16,Jogos!AI:AI)</f>
        <v>0</v>
      </c>
      <c r="J16" s="1">
        <f>SUMIF(Jogos!$AM:$AM,Dummy!$B16,Jogos!AQ:AQ)</f>
        <v>0</v>
      </c>
      <c r="K16" s="1">
        <f>SUMIF(Jogos!$AM:$AM,Dummy!$B16,Jogos!AR:AR)</f>
        <v>0</v>
      </c>
      <c r="L16" s="1">
        <f>SUMIF(Jogos!$AM:$AM,Dummy!$B16,Jogos!AS:AS)</f>
        <v>0</v>
      </c>
      <c r="M16" s="1">
        <f>SUMIF(Jogos!AC:AC,B16,Jogos!AE:AE)+SUMIF(Jogos!AM:AM,B16,Jogos!AO:AO)</f>
        <v>0</v>
      </c>
      <c r="N16" s="1">
        <f>SUMIF(Jogos!AC:AC,B16,Jogos!AF:AF)+SUMIF(Jogos!AM:AM,B16,Jogos!AP:AP)</f>
        <v>0</v>
      </c>
      <c r="O16" s="15" t="str">
        <f t="shared" si="4"/>
        <v>MAX</v>
      </c>
      <c r="P16" s="1">
        <f>SUMIF(Jogos!AC:AC,B16,Jogos!AJ:AJ)+SUMIF(Jogos!AM:AM,B16,Jogos!AT:AT)</f>
        <v>0</v>
      </c>
      <c r="Q16" s="1">
        <f>SUMIF(Jogos!AC:AC,B16,Jogos!AK:AK)+SUMIF(Jogos!AM:AM,B16,Jogos!AU:AU)</f>
        <v>0</v>
      </c>
      <c r="R16" s="15" t="str">
        <f t="shared" si="0"/>
        <v>MAX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13</v>
      </c>
      <c r="W16" s="1">
        <v>13</v>
      </c>
    </row>
    <row r="17" spans="1:23" x14ac:dyDescent="0.25">
      <c r="A17" s="1">
        <f t="shared" si="1"/>
        <v>15</v>
      </c>
      <c r="B17" s="1" t="s">
        <v>57</v>
      </c>
      <c r="C17" s="1">
        <f t="shared" si="2"/>
        <v>0</v>
      </c>
      <c r="D17" s="1">
        <f t="shared" si="3"/>
        <v>0</v>
      </c>
      <c r="E17" s="1">
        <f>COUNTIF(Jogos!AC:AC,Dummy!B17)</f>
        <v>0</v>
      </c>
      <c r="F17" s="1">
        <f>COUNTIF(Jogos!AM:AM,Dummy!B17)</f>
        <v>0</v>
      </c>
      <c r="G17" s="1">
        <f>SUMIF(Jogos!$AC:$AC,Dummy!$B17,Jogos!AG:AG)</f>
        <v>0</v>
      </c>
      <c r="H17" s="1">
        <f>SUMIF(Jogos!$AC:$AC,Dummy!$B17,Jogos!AH:AH)</f>
        <v>0</v>
      </c>
      <c r="I17" s="1">
        <f>SUMIF(Jogos!$AC:$AC,Dummy!$B17,Jogos!AI:AI)</f>
        <v>0</v>
      </c>
      <c r="J17" s="1">
        <f>SUMIF(Jogos!$AM:$AM,Dummy!$B17,Jogos!AQ:AQ)</f>
        <v>0</v>
      </c>
      <c r="K17" s="1">
        <f>SUMIF(Jogos!$AM:$AM,Dummy!$B17,Jogos!AR:AR)</f>
        <v>0</v>
      </c>
      <c r="L17" s="1">
        <f>SUMIF(Jogos!$AM:$AM,Dummy!$B17,Jogos!AS:AS)</f>
        <v>0</v>
      </c>
      <c r="M17" s="1">
        <f>SUMIF(Jogos!AC:AC,B17,Jogos!AE:AE)+SUMIF(Jogos!AM:AM,B17,Jogos!AO:AO)</f>
        <v>0</v>
      </c>
      <c r="N17" s="1">
        <f>SUMIF(Jogos!AC:AC,B17,Jogos!AF:AF)+SUMIF(Jogos!AM:AM,B17,Jogos!AP:AP)</f>
        <v>0</v>
      </c>
      <c r="O17" s="15" t="str">
        <f t="shared" si="4"/>
        <v>MAX</v>
      </c>
      <c r="P17" s="1">
        <f>SUMIF(Jogos!AC:AC,B17,Jogos!AJ:AJ)+SUMIF(Jogos!AM:AM,B17,Jogos!AT:AT)</f>
        <v>0</v>
      </c>
      <c r="Q17" s="1">
        <f>SUMIF(Jogos!AC:AC,B17,Jogos!AK:AK)+SUMIF(Jogos!AM:AM,B17,Jogos!AU:AU)</f>
        <v>0</v>
      </c>
      <c r="R17" s="15" t="str">
        <f t="shared" si="0"/>
        <v>MAX</v>
      </c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14</v>
      </c>
      <c r="W17" s="1">
        <v>14</v>
      </c>
    </row>
    <row r="18" spans="1:23" x14ac:dyDescent="0.25">
      <c r="A18" s="1">
        <f t="shared" si="1"/>
        <v>16</v>
      </c>
      <c r="B18" s="1" t="s">
        <v>58</v>
      </c>
      <c r="C18" s="1">
        <f t="shared" si="2"/>
        <v>0</v>
      </c>
      <c r="D18" s="1">
        <f t="shared" si="3"/>
        <v>0</v>
      </c>
      <c r="E18" s="1">
        <f>COUNTIF(Jogos!AC:AC,Dummy!B18)</f>
        <v>0</v>
      </c>
      <c r="F18" s="1">
        <f>COUNTIF(Jogos!AM:AM,Dummy!B18)</f>
        <v>0</v>
      </c>
      <c r="G18" s="1">
        <f>SUMIF(Jogos!$AC:$AC,Dummy!$B18,Jogos!AG:AG)</f>
        <v>0</v>
      </c>
      <c r="H18" s="1">
        <f>SUMIF(Jogos!$AC:$AC,Dummy!$B18,Jogos!AH:AH)</f>
        <v>0</v>
      </c>
      <c r="I18" s="1">
        <f>SUMIF(Jogos!$AC:$AC,Dummy!$B18,Jogos!AI:AI)</f>
        <v>0</v>
      </c>
      <c r="J18" s="1">
        <f>SUMIF(Jogos!$AM:$AM,Dummy!$B18,Jogos!AQ:AQ)</f>
        <v>0</v>
      </c>
      <c r="K18" s="1">
        <f>SUMIF(Jogos!$AM:$AM,Dummy!$B18,Jogos!AR:AR)</f>
        <v>0</v>
      </c>
      <c r="L18" s="1">
        <f>SUMIF(Jogos!$AM:$AM,Dummy!$B18,Jogos!AS:AS)</f>
        <v>0</v>
      </c>
      <c r="M18" s="1">
        <f>SUMIF(Jogos!AC:AC,B18,Jogos!AE:AE)+SUMIF(Jogos!AM:AM,B18,Jogos!AO:AO)</f>
        <v>0</v>
      </c>
      <c r="N18" s="1">
        <f>SUMIF(Jogos!AC:AC,B18,Jogos!AF:AF)+SUMIF(Jogos!AM:AM,B18,Jogos!AP:AP)</f>
        <v>0</v>
      </c>
      <c r="O18" s="15" t="str">
        <f t="shared" si="4"/>
        <v>MAX</v>
      </c>
      <c r="P18" s="1">
        <f>SUMIF(Jogos!AC:AC,B18,Jogos!AJ:AJ)+SUMIF(Jogos!AM:AM,B18,Jogos!AT:AT)</f>
        <v>0</v>
      </c>
      <c r="Q18" s="1">
        <f>SUMIF(Jogos!AC:AC,B18,Jogos!AK:AK)+SUMIF(Jogos!AM:AM,B18,Jogos!AU:AU)</f>
        <v>0</v>
      </c>
      <c r="R18" s="15" t="str">
        <f t="shared" si="0"/>
        <v>MAX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15</v>
      </c>
      <c r="W18" s="1">
        <v>15</v>
      </c>
    </row>
    <row r="19" spans="1:23" x14ac:dyDescent="0.25">
      <c r="A19" s="1">
        <f t="shared" si="1"/>
        <v>17</v>
      </c>
      <c r="B19" s="1" t="s">
        <v>59</v>
      </c>
      <c r="C19" s="1">
        <f t="shared" si="2"/>
        <v>0</v>
      </c>
      <c r="D19" s="1">
        <f t="shared" si="3"/>
        <v>0</v>
      </c>
      <c r="E19" s="1">
        <f>COUNTIF(Jogos!AC:AC,Dummy!B19)</f>
        <v>0</v>
      </c>
      <c r="F19" s="1">
        <f>COUNTIF(Jogos!AM:AM,Dummy!B19)</f>
        <v>0</v>
      </c>
      <c r="G19" s="1">
        <f>SUMIF(Jogos!$AC:$AC,Dummy!$B19,Jogos!AG:AG)</f>
        <v>0</v>
      </c>
      <c r="H19" s="1">
        <f>SUMIF(Jogos!$AC:$AC,Dummy!$B19,Jogos!AH:AH)</f>
        <v>0</v>
      </c>
      <c r="I19" s="1">
        <f>SUMIF(Jogos!$AC:$AC,Dummy!$B19,Jogos!AI:AI)</f>
        <v>0</v>
      </c>
      <c r="J19" s="1">
        <f>SUMIF(Jogos!$AM:$AM,Dummy!$B19,Jogos!AQ:AQ)</f>
        <v>0</v>
      </c>
      <c r="K19" s="1">
        <f>SUMIF(Jogos!$AM:$AM,Dummy!$B19,Jogos!AR:AR)</f>
        <v>0</v>
      </c>
      <c r="L19" s="1">
        <f>SUMIF(Jogos!$AM:$AM,Dummy!$B19,Jogos!AS:AS)</f>
        <v>0</v>
      </c>
      <c r="M19" s="1">
        <f>SUMIF(Jogos!AC:AC,B19,Jogos!AE:AE)+SUMIF(Jogos!AM:AM,B19,Jogos!AO:AO)</f>
        <v>0</v>
      </c>
      <c r="N19" s="1">
        <f>SUMIF(Jogos!AC:AC,B19,Jogos!AF:AF)+SUMIF(Jogos!AM:AM,B19,Jogos!AP:AP)</f>
        <v>0</v>
      </c>
      <c r="O19" s="15" t="str">
        <f t="shared" si="4"/>
        <v>MAX</v>
      </c>
      <c r="P19" s="1">
        <f>SUMIF(Jogos!AC:AC,B19,Jogos!AJ:AJ)+SUMIF(Jogos!AM:AM,B19,Jogos!AT:AT)</f>
        <v>0</v>
      </c>
      <c r="Q19" s="1">
        <f>SUMIF(Jogos!AC:AC,B19,Jogos!AK:AK)+SUMIF(Jogos!AM:AM,B19,Jogos!AU:AU)</f>
        <v>0</v>
      </c>
      <c r="R19" s="15" t="str">
        <f t="shared" si="0"/>
        <v>MAX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16</v>
      </c>
      <c r="W19" s="1">
        <v>16</v>
      </c>
    </row>
    <row r="20" spans="1:23" x14ac:dyDescent="0.25">
      <c r="A20" s="1">
        <f t="shared" si="1"/>
        <v>18</v>
      </c>
      <c r="B20" s="1" t="s">
        <v>31</v>
      </c>
      <c r="C20" s="1">
        <f t="shared" si="2"/>
        <v>0</v>
      </c>
      <c r="D20" s="1">
        <f t="shared" si="3"/>
        <v>0</v>
      </c>
      <c r="E20" s="1">
        <f>COUNTIF(Jogos!AC:AC,Dummy!B20)</f>
        <v>0</v>
      </c>
      <c r="F20" s="1">
        <f>COUNTIF(Jogos!AM:AM,Dummy!B20)</f>
        <v>0</v>
      </c>
      <c r="G20" s="1">
        <f>SUMIF(Jogos!$AC:$AC,Dummy!$B20,Jogos!AG:AG)</f>
        <v>0</v>
      </c>
      <c r="H20" s="1">
        <f>SUMIF(Jogos!$AC:$AC,Dummy!$B20,Jogos!AH:AH)</f>
        <v>0</v>
      </c>
      <c r="I20" s="1">
        <f>SUMIF(Jogos!$AC:$AC,Dummy!$B20,Jogos!AI:AI)</f>
        <v>0</v>
      </c>
      <c r="J20" s="1">
        <f>SUMIF(Jogos!$AM:$AM,Dummy!$B20,Jogos!AQ:AQ)</f>
        <v>0</v>
      </c>
      <c r="K20" s="1">
        <f>SUMIF(Jogos!$AM:$AM,Dummy!$B20,Jogos!AR:AR)</f>
        <v>0</v>
      </c>
      <c r="L20" s="1">
        <f>SUMIF(Jogos!$AM:$AM,Dummy!$B20,Jogos!AS:AS)</f>
        <v>0</v>
      </c>
      <c r="M20" s="1">
        <f>SUMIF(Jogos!AC:AC,B20,Jogos!AE:AE)+SUMIF(Jogos!AM:AM,B20,Jogos!AO:AO)</f>
        <v>0</v>
      </c>
      <c r="N20" s="1">
        <f>SUMIF(Jogos!AC:AC,B20,Jogos!AF:AF)+SUMIF(Jogos!AM:AM,B20,Jogos!AP:AP)</f>
        <v>0</v>
      </c>
      <c r="O20" s="15" t="str">
        <f t="shared" si="4"/>
        <v>MAX</v>
      </c>
      <c r="P20" s="1">
        <f>SUMIF(Jogos!AC:AC,B20,Jogos!AJ:AJ)+SUMIF(Jogos!AM:AM,B20,Jogos!AT:AT)</f>
        <v>0</v>
      </c>
      <c r="Q20" s="1">
        <f>SUMIF(Jogos!AC:AC,B20,Jogos!AK:AK)+SUMIF(Jogos!AM:AM,B20,Jogos!AU:AU)</f>
        <v>0</v>
      </c>
      <c r="R20" s="15" t="str">
        <f t="shared" si="0"/>
        <v>MAX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17</v>
      </c>
      <c r="W20" s="1">
        <v>17</v>
      </c>
    </row>
    <row r="23" spans="1:23" ht="18.75" x14ac:dyDescent="0.25">
      <c r="A23" s="39" t="s">
        <v>93</v>
      </c>
    </row>
    <row r="25" spans="1:23" x14ac:dyDescent="0.25">
      <c r="D25" s="61" t="s">
        <v>15</v>
      </c>
      <c r="E25" s="61"/>
      <c r="F25" s="61"/>
      <c r="G25" s="61" t="s">
        <v>61</v>
      </c>
      <c r="H25" s="61"/>
      <c r="I25" s="61"/>
      <c r="J25" s="61"/>
      <c r="K25" s="61"/>
      <c r="L25" s="61"/>
      <c r="M25" s="61" t="s">
        <v>62</v>
      </c>
      <c r="N25" s="61"/>
      <c r="O25" s="61"/>
      <c r="P25" s="61" t="s">
        <v>63</v>
      </c>
      <c r="Q25" s="61"/>
      <c r="R25" s="61"/>
      <c r="S25" s="61" t="s">
        <v>64</v>
      </c>
      <c r="T25" s="61"/>
      <c r="U25" s="61"/>
      <c r="V25" s="61"/>
      <c r="W25" s="61"/>
    </row>
    <row r="26" spans="1:23" x14ac:dyDescent="0.25">
      <c r="A26" s="2" t="s">
        <v>44</v>
      </c>
      <c r="B26" s="2" t="s">
        <v>45</v>
      </c>
      <c r="C26" s="2" t="s">
        <v>46</v>
      </c>
      <c r="D26" s="2" t="s">
        <v>11</v>
      </c>
      <c r="E26" s="2" t="s">
        <v>21</v>
      </c>
      <c r="F26" s="2" t="s">
        <v>26</v>
      </c>
      <c r="G26" s="3" t="s">
        <v>16</v>
      </c>
      <c r="H26" s="3" t="s">
        <v>18</v>
      </c>
      <c r="I26" s="3" t="s">
        <v>17</v>
      </c>
      <c r="J26" s="3" t="s">
        <v>27</v>
      </c>
      <c r="K26" s="3" t="s">
        <v>28</v>
      </c>
      <c r="L26" s="3" t="s">
        <v>29</v>
      </c>
      <c r="M26" s="2" t="s">
        <v>19</v>
      </c>
      <c r="N26" s="2" t="s">
        <v>20</v>
      </c>
      <c r="O26" s="2" t="s">
        <v>47</v>
      </c>
      <c r="P26" s="2" t="s">
        <v>48</v>
      </c>
      <c r="Q26" s="2" t="s">
        <v>22</v>
      </c>
      <c r="R26" s="2" t="s">
        <v>47</v>
      </c>
      <c r="S26" s="2" t="s">
        <v>63</v>
      </c>
      <c r="T26" s="2" t="s">
        <v>65</v>
      </c>
      <c r="U26" s="2" t="s">
        <v>66</v>
      </c>
      <c r="V26" s="2" t="s">
        <v>68</v>
      </c>
      <c r="W26" s="2" t="s">
        <v>67</v>
      </c>
    </row>
    <row r="27" spans="1:23" x14ac:dyDescent="0.25">
      <c r="A27" s="1">
        <f>RANK(E27,$E$27:$E$34)+SUM(S27:V27)</f>
        <v>1</v>
      </c>
      <c r="B27" s="1" t="str">
        <f>Z1</f>
        <v>Polônia</v>
      </c>
      <c r="C27" s="1">
        <f>VLOOKUP($B27,$B$3:$R$20,2,FALSE)</f>
        <v>0</v>
      </c>
      <c r="D27" s="1">
        <f>VLOOKUP($B27,$B$3:$R$20,3,FALSE)</f>
        <v>0</v>
      </c>
      <c r="E27" s="1">
        <f>VLOOKUP($B27,$B$3:$R$20,4,FALSE)</f>
        <v>0</v>
      </c>
      <c r="F27" s="1">
        <f>VLOOKUP($B27,$B$3:$R$20,5,FALSE)</f>
        <v>0</v>
      </c>
      <c r="G27" s="1">
        <f>VLOOKUP($B27,$B$3:$R$20,6,FALSE)</f>
        <v>0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0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0</v>
      </c>
      <c r="N27" s="1">
        <f>VLOOKUP($B27,$B$3:$R$20,13,FALSE)</f>
        <v>0</v>
      </c>
      <c r="O27" s="40" t="str">
        <f>VLOOKUP($B27,$B$3:$R$20,14,FALSE)</f>
        <v>MAX</v>
      </c>
      <c r="P27" s="1">
        <f>VLOOKUP($B27,$B$3:$R$20,15,FALSE)</f>
        <v>0</v>
      </c>
      <c r="Q27" s="1">
        <f>VLOOKUP($B27,$B$3:$R$20,16,FALSE)</f>
        <v>0</v>
      </c>
      <c r="R27" s="40" t="str">
        <f>VLOOKUP($B27,$B$3:$R$20,17,FALSE)</f>
        <v>MAX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2</v>
      </c>
      <c r="B28" s="1" t="str">
        <f>VLOOKUP(Z3,$A$3:$R$20,2,FALSE)</f>
        <v>Alemanha</v>
      </c>
      <c r="C28" s="1">
        <f t="shared" ref="C28:C34" si="11">VLOOKUP($B28,$B$3:$R$20,2,FALSE)</f>
        <v>0</v>
      </c>
      <c r="D28" s="1">
        <f t="shared" ref="D28:D34" si="12">VLOOKUP($B28,$B$3:$R$20,3,FALSE)</f>
        <v>0</v>
      </c>
      <c r="E28" s="1">
        <f t="shared" ref="E28:E34" si="13">VLOOKUP($B28,$B$3:$R$20,4,FALSE)</f>
        <v>0</v>
      </c>
      <c r="F28" s="1">
        <f t="shared" ref="F28:F34" si="14">VLOOKUP($B28,$B$3:$R$20,5,FALSE)</f>
        <v>0</v>
      </c>
      <c r="G28" s="1">
        <f t="shared" ref="G28:G34" si="15">VLOOKUP($B28,$B$3:$R$20,6,FALSE)</f>
        <v>0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0</v>
      </c>
      <c r="N28" s="1">
        <f t="shared" ref="N28:N34" si="22">VLOOKUP($B28,$B$3:$R$20,13,FALSE)</f>
        <v>0</v>
      </c>
      <c r="O28" s="40" t="str">
        <f t="shared" ref="O28:O34" si="23">VLOOKUP($B28,$B$3:$R$20,14,FALSE)</f>
        <v>MAX</v>
      </c>
      <c r="P28" s="1">
        <f t="shared" ref="P28:P34" si="24">VLOOKUP($B28,$B$3:$R$20,15,FALSE)</f>
        <v>0</v>
      </c>
      <c r="Q28" s="1">
        <f t="shared" ref="Q28:Q34" si="25">VLOOKUP($B28,$B$3:$R$20,16,FALSE)</f>
        <v>0</v>
      </c>
      <c r="R28" s="40" t="str">
        <f t="shared" ref="R28:R34" si="26">VLOOKUP($B28,$B$3:$R$20,17,FALSE)</f>
        <v>MAX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1</v>
      </c>
      <c r="W28" s="1">
        <v>1</v>
      </c>
    </row>
    <row r="29" spans="1:23" x14ac:dyDescent="0.25">
      <c r="A29" s="1">
        <f t="shared" si="10"/>
        <v>3</v>
      </c>
      <c r="B29" s="1" t="str">
        <f t="shared" ref="B29:B34" si="31">VLOOKUP(Z4,$A$3:$R$20,2,FALSE)</f>
        <v>Bélgica</v>
      </c>
      <c r="C29" s="1">
        <f t="shared" si="11"/>
        <v>0</v>
      </c>
      <c r="D29" s="1">
        <f t="shared" si="12"/>
        <v>0</v>
      </c>
      <c r="E29" s="1">
        <f t="shared" si="13"/>
        <v>0</v>
      </c>
      <c r="F29" s="1">
        <f t="shared" si="14"/>
        <v>0</v>
      </c>
      <c r="G29" s="1">
        <f t="shared" si="15"/>
        <v>0</v>
      </c>
      <c r="H29" s="1">
        <f t="shared" si="16"/>
        <v>0</v>
      </c>
      <c r="I29" s="1">
        <f t="shared" si="17"/>
        <v>0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0</v>
      </c>
      <c r="N29" s="1">
        <f t="shared" si="22"/>
        <v>0</v>
      </c>
      <c r="O29" s="40" t="str">
        <f t="shared" si="23"/>
        <v>MAX</v>
      </c>
      <c r="P29" s="1">
        <f t="shared" si="24"/>
        <v>0</v>
      </c>
      <c r="Q29" s="1">
        <f t="shared" si="25"/>
        <v>0</v>
      </c>
      <c r="R29" s="40" t="str">
        <f t="shared" si="26"/>
        <v>MAX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2</v>
      </c>
      <c r="W29" s="1">
        <v>2</v>
      </c>
    </row>
    <row r="30" spans="1:23" x14ac:dyDescent="0.25">
      <c r="A30" s="1">
        <f t="shared" si="10"/>
        <v>4</v>
      </c>
      <c r="B30" s="1" t="str">
        <f t="shared" si="31"/>
        <v>Brasil</v>
      </c>
      <c r="C30" s="1">
        <f t="shared" si="11"/>
        <v>0</v>
      </c>
      <c r="D30" s="1">
        <f t="shared" si="12"/>
        <v>0</v>
      </c>
      <c r="E30" s="1">
        <f t="shared" si="13"/>
        <v>0</v>
      </c>
      <c r="F30" s="1">
        <f t="shared" si="14"/>
        <v>0</v>
      </c>
      <c r="G30" s="1">
        <f t="shared" si="15"/>
        <v>0</v>
      </c>
      <c r="H30" s="1">
        <f t="shared" si="16"/>
        <v>0</v>
      </c>
      <c r="I30" s="1">
        <f t="shared" si="17"/>
        <v>0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0</v>
      </c>
      <c r="N30" s="1">
        <f t="shared" si="22"/>
        <v>0</v>
      </c>
      <c r="O30" s="40" t="str">
        <f t="shared" si="23"/>
        <v>MAX</v>
      </c>
      <c r="P30" s="1">
        <f t="shared" si="24"/>
        <v>0</v>
      </c>
      <c r="Q30" s="1">
        <f t="shared" si="25"/>
        <v>0</v>
      </c>
      <c r="R30" s="40" t="str">
        <f t="shared" si="26"/>
        <v>MAX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3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Bulgária</v>
      </c>
      <c r="C31" s="1">
        <f t="shared" si="11"/>
        <v>0</v>
      </c>
      <c r="D31" s="1">
        <f t="shared" si="12"/>
        <v>0</v>
      </c>
      <c r="E31" s="1">
        <f t="shared" si="13"/>
        <v>0</v>
      </c>
      <c r="F31" s="1">
        <f t="shared" si="14"/>
        <v>0</v>
      </c>
      <c r="G31" s="1">
        <f t="shared" si="15"/>
        <v>0</v>
      </c>
      <c r="H31" s="1">
        <f t="shared" si="16"/>
        <v>0</v>
      </c>
      <c r="I31" s="1">
        <f t="shared" si="17"/>
        <v>0</v>
      </c>
      <c r="J31" s="1">
        <f t="shared" si="18"/>
        <v>0</v>
      </c>
      <c r="K31" s="1">
        <f t="shared" si="19"/>
        <v>0</v>
      </c>
      <c r="L31" s="1">
        <f t="shared" si="20"/>
        <v>0</v>
      </c>
      <c r="M31" s="1">
        <f t="shared" si="21"/>
        <v>0</v>
      </c>
      <c r="N31" s="1">
        <f t="shared" si="22"/>
        <v>0</v>
      </c>
      <c r="O31" s="40" t="str">
        <f t="shared" si="23"/>
        <v>MAX</v>
      </c>
      <c r="P31" s="1">
        <f t="shared" si="24"/>
        <v>0</v>
      </c>
      <c r="Q31" s="1">
        <f t="shared" si="25"/>
        <v>0</v>
      </c>
      <c r="R31" s="40" t="str">
        <f t="shared" si="26"/>
        <v>MAX</v>
      </c>
      <c r="S31" s="1">
        <f t="shared" si="27"/>
        <v>0</v>
      </c>
      <c r="T31" s="1">
        <f t="shared" si="28"/>
        <v>0</v>
      </c>
      <c r="U31" s="1">
        <f t="shared" si="29"/>
        <v>0</v>
      </c>
      <c r="V31" s="1">
        <f t="shared" si="30"/>
        <v>4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Canadá</v>
      </c>
      <c r="C32" s="1">
        <f t="shared" si="11"/>
        <v>0</v>
      </c>
      <c r="D32" s="1">
        <f t="shared" si="12"/>
        <v>0</v>
      </c>
      <c r="E32" s="1">
        <f t="shared" si="13"/>
        <v>0</v>
      </c>
      <c r="F32" s="1">
        <f t="shared" si="14"/>
        <v>0</v>
      </c>
      <c r="G32" s="1">
        <f t="shared" si="15"/>
        <v>0</v>
      </c>
      <c r="H32" s="1">
        <f t="shared" si="16"/>
        <v>0</v>
      </c>
      <c r="I32" s="1">
        <f t="shared" si="17"/>
        <v>0</v>
      </c>
      <c r="J32" s="1">
        <f t="shared" si="18"/>
        <v>0</v>
      </c>
      <c r="K32" s="1">
        <f t="shared" si="19"/>
        <v>0</v>
      </c>
      <c r="L32" s="1">
        <f t="shared" si="20"/>
        <v>0</v>
      </c>
      <c r="M32" s="1">
        <f t="shared" si="21"/>
        <v>0</v>
      </c>
      <c r="N32" s="1">
        <f t="shared" si="22"/>
        <v>0</v>
      </c>
      <c r="O32" s="40" t="str">
        <f t="shared" si="23"/>
        <v>MAX</v>
      </c>
      <c r="P32" s="1">
        <f t="shared" si="24"/>
        <v>0</v>
      </c>
      <c r="Q32" s="1">
        <f t="shared" si="25"/>
        <v>0</v>
      </c>
      <c r="R32" s="40" t="str">
        <f t="shared" si="26"/>
        <v>MAX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5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República Tcheca</v>
      </c>
      <c r="C33" s="1">
        <f t="shared" si="11"/>
        <v>0</v>
      </c>
      <c r="D33" s="1">
        <f t="shared" si="12"/>
        <v>0</v>
      </c>
      <c r="E33" s="1">
        <f t="shared" si="13"/>
        <v>0</v>
      </c>
      <c r="F33" s="1">
        <f t="shared" si="14"/>
        <v>0</v>
      </c>
      <c r="G33" s="1">
        <f t="shared" si="15"/>
        <v>0</v>
      </c>
      <c r="H33" s="1">
        <f t="shared" si="16"/>
        <v>0</v>
      </c>
      <c r="I33" s="1">
        <f t="shared" si="17"/>
        <v>0</v>
      </c>
      <c r="J33" s="1">
        <f t="shared" si="18"/>
        <v>0</v>
      </c>
      <c r="K33" s="1">
        <f t="shared" si="19"/>
        <v>0</v>
      </c>
      <c r="L33" s="1">
        <f t="shared" si="20"/>
        <v>0</v>
      </c>
      <c r="M33" s="1">
        <f t="shared" si="21"/>
        <v>0</v>
      </c>
      <c r="N33" s="1">
        <f t="shared" si="22"/>
        <v>0</v>
      </c>
      <c r="O33" s="40" t="str">
        <f t="shared" si="23"/>
        <v>MAX</v>
      </c>
      <c r="P33" s="1">
        <f t="shared" si="24"/>
        <v>0</v>
      </c>
      <c r="Q33" s="1">
        <f t="shared" si="25"/>
        <v>0</v>
      </c>
      <c r="R33" s="40" t="str">
        <f t="shared" si="26"/>
        <v>MAX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6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China</v>
      </c>
      <c r="C34" s="1">
        <f t="shared" si="11"/>
        <v>0</v>
      </c>
      <c r="D34" s="1">
        <f t="shared" si="12"/>
        <v>0</v>
      </c>
      <c r="E34" s="1">
        <f t="shared" si="13"/>
        <v>0</v>
      </c>
      <c r="F34" s="1">
        <f t="shared" si="14"/>
        <v>0</v>
      </c>
      <c r="G34" s="1">
        <f t="shared" si="15"/>
        <v>0</v>
      </c>
      <c r="H34" s="1">
        <f t="shared" si="16"/>
        <v>0</v>
      </c>
      <c r="I34" s="1">
        <f t="shared" si="17"/>
        <v>0</v>
      </c>
      <c r="J34" s="1">
        <f t="shared" si="18"/>
        <v>0</v>
      </c>
      <c r="K34" s="1">
        <f t="shared" si="19"/>
        <v>0</v>
      </c>
      <c r="L34" s="1">
        <f t="shared" si="20"/>
        <v>0</v>
      </c>
      <c r="M34" s="1">
        <f t="shared" si="21"/>
        <v>0</v>
      </c>
      <c r="N34" s="1">
        <f t="shared" si="22"/>
        <v>0</v>
      </c>
      <c r="O34" s="40" t="str">
        <f t="shared" si="23"/>
        <v>MAX</v>
      </c>
      <c r="P34" s="1">
        <f t="shared" si="24"/>
        <v>0</v>
      </c>
      <c r="Q34" s="1">
        <f t="shared" si="25"/>
        <v>0</v>
      </c>
      <c r="R34" s="40" t="str">
        <f t="shared" si="26"/>
        <v>MAX</v>
      </c>
      <c r="S34" s="1">
        <f t="shared" si="27"/>
        <v>0</v>
      </c>
      <c r="T34" s="1">
        <f t="shared" si="28"/>
        <v>0</v>
      </c>
      <c r="U34" s="1">
        <f t="shared" si="29"/>
        <v>0</v>
      </c>
      <c r="V34" s="1">
        <f t="shared" si="30"/>
        <v>7</v>
      </c>
      <c r="W34" s="1">
        <v>7</v>
      </c>
    </row>
    <row r="37" spans="1:23" x14ac:dyDescent="0.25">
      <c r="A37" s="1">
        <v>1</v>
      </c>
      <c r="B37" s="1" t="str">
        <f>VLOOKUP($A37,$A$27:$D$34,2,FALSE)</f>
        <v>Polônia</v>
      </c>
      <c r="C37" s="1">
        <f>VLOOKUP($A37,$A$27:$D$34,4,FALSE)</f>
        <v>0</v>
      </c>
    </row>
    <row r="38" spans="1:23" x14ac:dyDescent="0.25">
      <c r="A38" s="1">
        <v>2</v>
      </c>
      <c r="B38" s="1" t="str">
        <f t="shared" ref="B38:B44" si="32">VLOOKUP($A38,$A$27:$D$34,2,FALSE)</f>
        <v>Alemanha</v>
      </c>
      <c r="C38" s="1">
        <f t="shared" ref="C38:C44" si="33">VLOOKUP($A38,$A$27:$D$34,4,FALSE)</f>
        <v>0</v>
      </c>
    </row>
    <row r="39" spans="1:23" x14ac:dyDescent="0.25">
      <c r="A39" s="1">
        <v>3</v>
      </c>
      <c r="B39" s="1" t="str">
        <f t="shared" si="32"/>
        <v>Bélgica</v>
      </c>
      <c r="C39" s="1">
        <f t="shared" si="33"/>
        <v>0</v>
      </c>
    </row>
    <row r="40" spans="1:23" x14ac:dyDescent="0.25">
      <c r="A40" s="1">
        <v>4</v>
      </c>
      <c r="B40" s="1" t="str">
        <f t="shared" si="32"/>
        <v>Brasil</v>
      </c>
      <c r="C40" s="1">
        <f t="shared" si="33"/>
        <v>0</v>
      </c>
    </row>
    <row r="41" spans="1:23" x14ac:dyDescent="0.25">
      <c r="A41" s="1">
        <v>5</v>
      </c>
      <c r="B41" s="1" t="str">
        <f t="shared" si="32"/>
        <v>Bulgária</v>
      </c>
      <c r="C41" s="1">
        <f t="shared" si="33"/>
        <v>0</v>
      </c>
    </row>
    <row r="42" spans="1:23" x14ac:dyDescent="0.25">
      <c r="A42" s="1">
        <v>6</v>
      </c>
      <c r="B42" s="1" t="str">
        <f t="shared" si="32"/>
        <v>Canadá</v>
      </c>
      <c r="C42" s="1">
        <f t="shared" si="33"/>
        <v>0</v>
      </c>
    </row>
    <row r="43" spans="1:23" x14ac:dyDescent="0.25">
      <c r="A43" s="1">
        <v>7</v>
      </c>
      <c r="B43" s="1" t="str">
        <f t="shared" si="32"/>
        <v>República Tcheca</v>
      </c>
      <c r="C43" s="1">
        <f t="shared" si="33"/>
        <v>0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0</v>
      </c>
    </row>
  </sheetData>
  <mergeCells count="10">
    <mergeCell ref="D25:F25"/>
    <mergeCell ref="G25:L25"/>
    <mergeCell ref="M25:O25"/>
    <mergeCell ref="P25:R25"/>
    <mergeCell ref="S25:W25"/>
    <mergeCell ref="D1:F1"/>
    <mergeCell ref="G1:L1"/>
    <mergeCell ref="M1:O1"/>
    <mergeCell ref="P1:R1"/>
    <mergeCell ref="S1:W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M132"/>
  <sheetViews>
    <sheetView showGridLines="0" showRowColHeaders="0" tabSelected="1" workbookViewId="0">
      <selection activeCell="E5" sqref="E5"/>
    </sheetView>
  </sheetViews>
  <sheetFormatPr defaultRowHeight="12.75" x14ac:dyDescent="0.25"/>
  <cols>
    <col min="1" max="1" width="3.7109375" style="4" customWidth="1"/>
    <col min="2" max="2" width="9.140625" style="19"/>
    <col min="3" max="3" width="9.140625" style="23"/>
    <col min="4" max="4" width="23.7109375" style="31" customWidth="1"/>
    <col min="5" max="5" width="3.7109375" style="5" customWidth="1"/>
    <col min="6" max="6" width="2.7109375" style="4" customWidth="1"/>
    <col min="7" max="7" width="3.7109375" style="6" customWidth="1"/>
    <col min="8" max="8" width="23.7109375" style="27" customWidth="1"/>
    <col min="9" max="9" width="4.7109375" style="5" customWidth="1"/>
    <col min="10" max="10" width="2.7109375" style="4" customWidth="1"/>
    <col min="11" max="11" width="4.7109375" style="6" customWidth="1"/>
    <col min="12" max="12" width="4.7109375" style="5" customWidth="1"/>
    <col min="13" max="13" width="2.7109375" style="4" customWidth="1"/>
    <col min="14" max="14" width="4.7109375" style="6" customWidth="1"/>
    <col min="15" max="15" width="4.7109375" style="5" customWidth="1"/>
    <col min="16" max="16" width="2.7109375" style="4" customWidth="1"/>
    <col min="17" max="17" width="4.7109375" style="6" customWidth="1"/>
    <col min="18" max="18" width="4.7109375" style="5" customWidth="1"/>
    <col min="19" max="19" width="2.7109375" style="4" customWidth="1"/>
    <col min="20" max="20" width="4.7109375" style="6" customWidth="1"/>
    <col min="21" max="21" width="4.7109375" style="5" customWidth="1"/>
    <col min="22" max="22" width="2.7109375" style="4" customWidth="1"/>
    <col min="23" max="23" width="4.7109375" style="6" customWidth="1"/>
    <col min="24" max="24" width="4.7109375" style="5" customWidth="1"/>
    <col min="25" max="25" width="2.7109375" style="4" customWidth="1"/>
    <col min="26" max="26" width="4.7109375" style="6" customWidth="1"/>
    <col min="27" max="27" width="9.140625" style="4"/>
    <col min="28" max="28" width="6.28515625" style="4" hidden="1" customWidth="1"/>
    <col min="29" max="29" width="21.5703125" style="4" hidden="1" customWidth="1"/>
    <col min="30" max="30" width="2.28515625" style="4" hidden="1" customWidth="1"/>
    <col min="31" max="31" width="5.5703125" style="4" hidden="1" customWidth="1"/>
    <col min="32" max="32" width="5.42578125" style="4" hidden="1" customWidth="1"/>
    <col min="33" max="35" width="4.28515625" style="4" hidden="1" customWidth="1"/>
    <col min="36" max="36" width="3.28515625" style="4" hidden="1" customWidth="1"/>
    <col min="37" max="37" width="3.42578125" style="4" hidden="1" customWidth="1"/>
    <col min="38" max="38" width="5.28515625" style="4" hidden="1" customWidth="1"/>
    <col min="39" max="39" width="17.85546875" style="4" hidden="1" customWidth="1"/>
    <col min="40" max="40" width="2.28515625" style="4" hidden="1" customWidth="1"/>
    <col min="41" max="41" width="5.5703125" style="4" hidden="1" customWidth="1"/>
    <col min="42" max="42" width="5.42578125" style="4" hidden="1" customWidth="1"/>
    <col min="43" max="45" width="4.28515625" style="4" hidden="1" customWidth="1"/>
    <col min="46" max="46" width="3.28515625" style="4" hidden="1" customWidth="1"/>
    <col min="47" max="47" width="3.42578125" style="4" hidden="1" customWidth="1"/>
    <col min="48" max="48" width="4.7109375" style="4" customWidth="1"/>
    <col min="49" max="49" width="22.7109375" style="4" customWidth="1"/>
    <col min="50" max="50" width="4.7109375" style="4" customWidth="1"/>
    <col min="51" max="61" width="3.7109375" style="4" customWidth="1"/>
    <col min="62" max="62" width="6.7109375" style="4" customWidth="1"/>
    <col min="63" max="64" width="4.7109375" style="4" customWidth="1"/>
    <col min="65" max="65" width="6.7109375" style="4" customWidth="1"/>
    <col min="66" max="16384" width="9.140625" style="4"/>
  </cols>
  <sheetData>
    <row r="2" spans="2:65" ht="15" x14ac:dyDescent="0.25">
      <c r="B2" s="70" t="s">
        <v>0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V2" s="63" t="s">
        <v>80</v>
      </c>
      <c r="AW2" s="64"/>
      <c r="AX2" s="65"/>
      <c r="AY2" s="63" t="s">
        <v>15</v>
      </c>
      <c r="AZ2" s="64"/>
      <c r="BA2" s="65"/>
      <c r="BB2" s="63" t="s">
        <v>61</v>
      </c>
      <c r="BC2" s="64"/>
      <c r="BD2" s="64"/>
      <c r="BE2" s="64"/>
      <c r="BF2" s="64"/>
      <c r="BG2" s="65"/>
      <c r="BH2" s="63" t="s">
        <v>62</v>
      </c>
      <c r="BI2" s="64"/>
      <c r="BJ2" s="65"/>
      <c r="BK2" s="63" t="s">
        <v>63</v>
      </c>
      <c r="BL2" s="64"/>
      <c r="BM2" s="65"/>
    </row>
    <row r="3" spans="2:65" ht="14.25" x14ac:dyDescent="0.25">
      <c r="B3" s="66" t="s">
        <v>1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V3" s="36" t="s">
        <v>44</v>
      </c>
      <c r="AW3" s="36" t="s">
        <v>45</v>
      </c>
      <c r="AX3" s="36" t="s">
        <v>46</v>
      </c>
      <c r="AY3" s="36" t="s">
        <v>77</v>
      </c>
      <c r="AZ3" s="36" t="s">
        <v>21</v>
      </c>
      <c r="BA3" s="36" t="s">
        <v>26</v>
      </c>
      <c r="BB3" s="36" t="s">
        <v>16</v>
      </c>
      <c r="BC3" s="36" t="s">
        <v>18</v>
      </c>
      <c r="BD3" s="36" t="s">
        <v>17</v>
      </c>
      <c r="BE3" s="36" t="s">
        <v>27</v>
      </c>
      <c r="BF3" s="36" t="s">
        <v>28</v>
      </c>
      <c r="BG3" s="36" t="s">
        <v>29</v>
      </c>
      <c r="BH3" s="36" t="s">
        <v>21</v>
      </c>
      <c r="BI3" s="36" t="s">
        <v>78</v>
      </c>
      <c r="BJ3" s="36" t="s">
        <v>79</v>
      </c>
      <c r="BK3" s="36" t="s">
        <v>21</v>
      </c>
      <c r="BL3" s="36" t="s">
        <v>78</v>
      </c>
      <c r="BM3" s="36" t="s">
        <v>79</v>
      </c>
    </row>
    <row r="4" spans="2:65" x14ac:dyDescent="0.25">
      <c r="B4" s="16" t="s">
        <v>2</v>
      </c>
      <c r="C4" s="20" t="s">
        <v>3</v>
      </c>
      <c r="D4" s="28"/>
      <c r="E4" s="67" t="s">
        <v>4</v>
      </c>
      <c r="F4" s="67"/>
      <c r="G4" s="67"/>
      <c r="H4" s="24"/>
      <c r="I4" s="68" t="s">
        <v>5</v>
      </c>
      <c r="J4" s="68"/>
      <c r="K4" s="68"/>
      <c r="L4" s="68" t="s">
        <v>6</v>
      </c>
      <c r="M4" s="68"/>
      <c r="N4" s="68"/>
      <c r="O4" s="68" t="s">
        <v>8</v>
      </c>
      <c r="P4" s="68"/>
      <c r="Q4" s="68"/>
      <c r="R4" s="68" t="s">
        <v>9</v>
      </c>
      <c r="S4" s="68"/>
      <c r="T4" s="68"/>
      <c r="U4" s="68" t="s">
        <v>10</v>
      </c>
      <c r="V4" s="68"/>
      <c r="W4" s="68"/>
      <c r="X4" s="68" t="s">
        <v>11</v>
      </c>
      <c r="Y4" s="68"/>
      <c r="Z4" s="68"/>
      <c r="AB4" s="4" t="s">
        <v>39</v>
      </c>
      <c r="AC4" s="4" t="s">
        <v>24</v>
      </c>
      <c r="AD4" s="4" t="s">
        <v>21</v>
      </c>
      <c r="AE4" s="4" t="s">
        <v>19</v>
      </c>
      <c r="AF4" s="4" t="s">
        <v>20</v>
      </c>
      <c r="AG4" s="4" t="s">
        <v>16</v>
      </c>
      <c r="AH4" s="8" t="s">
        <v>18</v>
      </c>
      <c r="AI4" s="8" t="s">
        <v>17</v>
      </c>
      <c r="AJ4" s="4" t="s">
        <v>22</v>
      </c>
      <c r="AK4" s="4" t="s">
        <v>23</v>
      </c>
      <c r="AM4" s="4" t="s">
        <v>25</v>
      </c>
      <c r="AN4" s="4" t="s">
        <v>26</v>
      </c>
      <c r="AO4" s="4" t="s">
        <v>19</v>
      </c>
      <c r="AP4" s="4" t="s">
        <v>20</v>
      </c>
      <c r="AQ4" s="8" t="s">
        <v>27</v>
      </c>
      <c r="AR4" s="8" t="s">
        <v>28</v>
      </c>
      <c r="AS4" s="8" t="s">
        <v>29</v>
      </c>
      <c r="AT4" s="4" t="s">
        <v>22</v>
      </c>
      <c r="AU4" s="4" t="s">
        <v>23</v>
      </c>
      <c r="AV4" s="35">
        <v>1</v>
      </c>
      <c r="AW4" s="34" t="str">
        <f>VLOOKUP($AV4,Dummy!$A:$R,2,FALSE)</f>
        <v>Alemanha</v>
      </c>
      <c r="AX4" s="32">
        <f>VLOOKUP($AV4,Dummy!$A:$R,3,FALSE)</f>
        <v>0</v>
      </c>
      <c r="AY4" s="32">
        <f>VLOOKUP($AV4,Dummy!$A:$R,4,FALSE)</f>
        <v>0</v>
      </c>
      <c r="AZ4" s="32">
        <f>VLOOKUP($AV4,Dummy!$A:$R,5,FALSE)</f>
        <v>0</v>
      </c>
      <c r="BA4" s="32">
        <f>VLOOKUP($AV4,Dummy!$A:$R,6,FALSE)</f>
        <v>0</v>
      </c>
      <c r="BB4" s="32">
        <f>VLOOKUP($AV4,Dummy!$A:$R,7,FALSE)</f>
        <v>0</v>
      </c>
      <c r="BC4" s="32">
        <f>VLOOKUP($AV4,Dummy!$A:$R,8,FALSE)</f>
        <v>0</v>
      </c>
      <c r="BD4" s="32">
        <f>VLOOKUP($AV4,Dummy!$A:$R,9,FALSE)</f>
        <v>0</v>
      </c>
      <c r="BE4" s="32">
        <f>VLOOKUP($AV4,Dummy!$A:$R,10,FALSE)</f>
        <v>0</v>
      </c>
      <c r="BF4" s="32">
        <f>VLOOKUP($AV4,Dummy!$A:$R,11,FALSE)</f>
        <v>0</v>
      </c>
      <c r="BG4" s="32">
        <f>VLOOKUP($AV4,Dummy!$A:$R,12,FALSE)</f>
        <v>0</v>
      </c>
      <c r="BH4" s="32">
        <f>VLOOKUP($AV4,Dummy!$A:$R,13,FALSE)</f>
        <v>0</v>
      </c>
      <c r="BI4" s="32">
        <f>VLOOKUP($AV4,Dummy!$A:$R,14,FALSE)</f>
        <v>0</v>
      </c>
      <c r="BJ4" s="33" t="str">
        <f>VLOOKUP($AV4,Dummy!$A:$R,15,FALSE)</f>
        <v>MAX</v>
      </c>
      <c r="BK4" s="32">
        <f>VLOOKUP($AV4,Dummy!$A:$R,16,FALSE)</f>
        <v>0</v>
      </c>
      <c r="BL4" s="32">
        <f>VLOOKUP($AV4,Dummy!$A:$R,17,FALSE)</f>
        <v>0</v>
      </c>
      <c r="BM4" s="33" t="str">
        <f>VLOOKUP($AV4,Dummy!$A:$R,18,FALSE)</f>
        <v>MAX</v>
      </c>
    </row>
    <row r="5" spans="2:65" x14ac:dyDescent="0.25">
      <c r="B5" s="17">
        <v>45812</v>
      </c>
      <c r="C5" s="21">
        <v>0.45833333333333331</v>
      </c>
      <c r="D5" s="29" t="s">
        <v>38</v>
      </c>
      <c r="E5" s="37"/>
      <c r="F5" s="11" t="s">
        <v>7</v>
      </c>
      <c r="G5" s="38"/>
      <c r="H5" s="25" t="s">
        <v>30</v>
      </c>
      <c r="I5" s="37"/>
      <c r="J5" s="11" t="s">
        <v>7</v>
      </c>
      <c r="K5" s="38"/>
      <c r="L5" s="37"/>
      <c r="M5" s="11" t="s">
        <v>7</v>
      </c>
      <c r="N5" s="38"/>
      <c r="O5" s="37"/>
      <c r="P5" s="11" t="s">
        <v>7</v>
      </c>
      <c r="Q5" s="38"/>
      <c r="R5" s="37"/>
      <c r="S5" s="11" t="s">
        <v>7</v>
      </c>
      <c r="T5" s="38"/>
      <c r="U5" s="37"/>
      <c r="V5" s="11" t="s">
        <v>7</v>
      </c>
      <c r="W5" s="38"/>
      <c r="X5" s="12">
        <f>SUM(I5,L5,O5,R5,U5)</f>
        <v>0</v>
      </c>
      <c r="Y5" s="13" t="s">
        <v>7</v>
      </c>
      <c r="Z5" s="14">
        <f>SUM(K5,N5,Q5,T5,W5)</f>
        <v>0</v>
      </c>
      <c r="AB5" s="4">
        <f>AE5+AF5</f>
        <v>0</v>
      </c>
      <c r="AC5" s="4">
        <f>IF(OR(E5="",G5=""),0,IF(E5&gt;G5,D5,H5))</f>
        <v>0</v>
      </c>
      <c r="AD5" s="4">
        <f>IF(OR(E5="",G5=""),0,1)</f>
        <v>0</v>
      </c>
      <c r="AE5" s="4">
        <f>IF(OR(E5="",G5=""),0,IF(E5&gt;G5,E5,G5))</f>
        <v>0</v>
      </c>
      <c r="AF5" s="4">
        <f>IF(OR(E5="",G5=""),0,IF(E5&gt;G5,G5,E5))</f>
        <v>0</v>
      </c>
      <c r="AG5" s="4">
        <f>IF(AND(AE5=3,AF5=0),1,0)</f>
        <v>0</v>
      </c>
      <c r="AH5" s="4">
        <f>IF(AND(AE5=3,AF5=1),1,0)</f>
        <v>0</v>
      </c>
      <c r="AI5" s="4">
        <f>IF(AND(AE5=3,AF5=2),1,0)</f>
        <v>0</v>
      </c>
      <c r="AJ5" s="4">
        <f>IF(E5&gt;G5,SUM(I5,L5,O5,R5,U5,),SUM(K5,N5,Q5,T5,W5))</f>
        <v>0</v>
      </c>
      <c r="AK5" s="4">
        <f>IF(E5&gt;G5,SUM(K5,N5,Q5,T5,W5),SUM(I5,L5,O5,R5,U5))</f>
        <v>0</v>
      </c>
      <c r="AM5" s="4">
        <f>IF(OR(E5="",G5=""),0,IF(E5&lt;G5,D5,H5))</f>
        <v>0</v>
      </c>
      <c r="AN5" s="4">
        <f>IF(OR(E5="",G5=""),0,1)</f>
        <v>0</v>
      </c>
      <c r="AO5" s="4">
        <f>IF(OR(E5="",G5=""),0,IF(E5&lt;G5,E5,G5))</f>
        <v>0</v>
      </c>
      <c r="AP5" s="4">
        <f>IF(OR(E5="",G5=""),0,IF(E5&lt;G5,G5,E5))</f>
        <v>0</v>
      </c>
      <c r="AQ5" s="4">
        <f>IF(AND(AO5=2,AP5=3),1,0)</f>
        <v>0</v>
      </c>
      <c r="AR5" s="4">
        <f>IF(AND(AO5=1,AP5=3),1,0)</f>
        <v>0</v>
      </c>
      <c r="AS5" s="4">
        <f>IF(AND(AO5=0,AP5=3),1,0)</f>
        <v>0</v>
      </c>
      <c r="AT5" s="4">
        <f>IF(E5&lt;G5,SUM(I5,L5,O5,R5,U5,),SUM(K5,N5,Q5,T5,W5))</f>
        <v>0</v>
      </c>
      <c r="AU5" s="4">
        <f>IF(E5&lt;G5,SUM(K5,N5,Q5,T5,W5),SUM(I5,L5,O5,R5,U5))</f>
        <v>0</v>
      </c>
      <c r="AV5" s="35">
        <v>2</v>
      </c>
      <c r="AW5" s="34" t="str">
        <f>VLOOKUP($AV5,Dummy!$A:$R,2,FALSE)</f>
        <v>Bélgica</v>
      </c>
      <c r="AX5" s="32">
        <f>VLOOKUP($AV5,Dummy!$A:$R,3,FALSE)</f>
        <v>0</v>
      </c>
      <c r="AY5" s="32">
        <f>VLOOKUP($AV5,Dummy!$A:$R,4,FALSE)</f>
        <v>0</v>
      </c>
      <c r="AZ5" s="32">
        <f>VLOOKUP($AV5,Dummy!$A:$R,5,FALSE)</f>
        <v>0</v>
      </c>
      <c r="BA5" s="32">
        <f>VLOOKUP($AV5,Dummy!$A:$R,6,FALSE)</f>
        <v>0</v>
      </c>
      <c r="BB5" s="32">
        <f>VLOOKUP($AV5,Dummy!$A:$R,7,FALSE)</f>
        <v>0</v>
      </c>
      <c r="BC5" s="32">
        <f>VLOOKUP($AV5,Dummy!$A:$R,8,FALSE)</f>
        <v>0</v>
      </c>
      <c r="BD5" s="32">
        <f>VLOOKUP($AV5,Dummy!$A:$R,9,FALSE)</f>
        <v>0</v>
      </c>
      <c r="BE5" s="32">
        <f>VLOOKUP($AV5,Dummy!$A:$R,10,FALSE)</f>
        <v>0</v>
      </c>
      <c r="BF5" s="32">
        <f>VLOOKUP($AV5,Dummy!$A:$R,11,FALSE)</f>
        <v>0</v>
      </c>
      <c r="BG5" s="32">
        <f>VLOOKUP($AV5,Dummy!$A:$R,12,FALSE)</f>
        <v>0</v>
      </c>
      <c r="BH5" s="32">
        <f>VLOOKUP($AV5,Dummy!$A:$R,13,FALSE)</f>
        <v>0</v>
      </c>
      <c r="BI5" s="32">
        <f>VLOOKUP($AV5,Dummy!$A:$R,14,FALSE)</f>
        <v>0</v>
      </c>
      <c r="BJ5" s="33" t="str">
        <f>VLOOKUP($AV5,Dummy!$A:$R,15,FALSE)</f>
        <v>MAX</v>
      </c>
      <c r="BK5" s="32">
        <f>VLOOKUP($AV5,Dummy!$A:$R,16,FALSE)</f>
        <v>0</v>
      </c>
      <c r="BL5" s="32">
        <f>VLOOKUP($AV5,Dummy!$A:$R,17,FALSE)</f>
        <v>0</v>
      </c>
      <c r="BM5" s="33" t="str">
        <f>VLOOKUP($AV5,Dummy!$A:$R,18,FALSE)</f>
        <v>MAX</v>
      </c>
    </row>
    <row r="6" spans="2:65" x14ac:dyDescent="0.25">
      <c r="B6" s="17">
        <v>45812</v>
      </c>
      <c r="C6" s="21">
        <v>0.66666666666666663</v>
      </c>
      <c r="D6" s="29" t="s">
        <v>57</v>
      </c>
      <c r="E6" s="37"/>
      <c r="F6" s="11" t="s">
        <v>7</v>
      </c>
      <c r="G6" s="38"/>
      <c r="H6" s="25" t="s">
        <v>58</v>
      </c>
      <c r="I6" s="37"/>
      <c r="J6" s="11" t="s">
        <v>7</v>
      </c>
      <c r="K6" s="38"/>
      <c r="L6" s="37"/>
      <c r="M6" s="11" t="s">
        <v>7</v>
      </c>
      <c r="N6" s="38"/>
      <c r="O6" s="37"/>
      <c r="P6" s="11" t="s">
        <v>7</v>
      </c>
      <c r="Q6" s="38"/>
      <c r="R6" s="37"/>
      <c r="S6" s="11" t="s">
        <v>7</v>
      </c>
      <c r="T6" s="38"/>
      <c r="U6" s="37"/>
      <c r="V6" s="11" t="s">
        <v>7</v>
      </c>
      <c r="W6" s="38"/>
      <c r="X6" s="12">
        <f t="shared" ref="X6:X16" si="0">SUM(I6,L6,O6,R6,U6)</f>
        <v>0</v>
      </c>
      <c r="Y6" s="13" t="s">
        <v>7</v>
      </c>
      <c r="Z6" s="14">
        <f t="shared" ref="Z6:Z16" si="1">SUM(K6,N6,Q6,T6,W6)</f>
        <v>0</v>
      </c>
      <c r="AB6" s="4">
        <f t="shared" ref="AB6:AB16" si="2">AE6+AF6</f>
        <v>0</v>
      </c>
      <c r="AC6" s="4">
        <f t="shared" ref="AC6:AC16" si="3">IF(OR(E6="",G6=""),0,IF(E6&gt;G6,D6,H6))</f>
        <v>0</v>
      </c>
      <c r="AD6" s="4">
        <f t="shared" ref="AD6:AD16" si="4">IF(OR(E6="",G6=""),0,1)</f>
        <v>0</v>
      </c>
      <c r="AE6" s="4">
        <f t="shared" ref="AE6:AE16" si="5">IF(OR(E6="",G6=""),0,IF(E6&gt;G6,E6,G6))</f>
        <v>0</v>
      </c>
      <c r="AF6" s="4">
        <f t="shared" ref="AF6:AF16" si="6">IF(OR(E6="",G6=""),0,IF(E6&gt;G6,G6,E6))</f>
        <v>0</v>
      </c>
      <c r="AG6" s="4">
        <f t="shared" ref="AG6:AG16" si="7">IF(AND(AE6=3,AF6=0),1,0)</f>
        <v>0</v>
      </c>
      <c r="AH6" s="4">
        <f t="shared" ref="AH6:AH16" si="8">IF(AND(AE6=3,AF6=1),1,0)</f>
        <v>0</v>
      </c>
      <c r="AI6" s="4">
        <f t="shared" ref="AI6:AI16" si="9">IF(AND(AE6=3,AF6=2),1,0)</f>
        <v>0</v>
      </c>
      <c r="AJ6" s="4">
        <f t="shared" ref="AJ6:AJ16" si="10">IF(E6&gt;G6,SUM(I6,L6,O6,R6,U6,),SUM(K6,N6,Q6,T6,W6))</f>
        <v>0</v>
      </c>
      <c r="AK6" s="4">
        <f t="shared" ref="AK6:AK16" si="11">IF(E6&gt;G6,SUM(K6,N6,Q6,T6,W6),SUM(I6,L6,O6,R6,U6))</f>
        <v>0</v>
      </c>
      <c r="AM6" s="4">
        <f t="shared" ref="AM6:AM16" si="12">IF(OR(E6="",G6=""),0,IF(E6&lt;G6,D6,H6))</f>
        <v>0</v>
      </c>
      <c r="AN6" s="4">
        <f t="shared" ref="AN6:AN16" si="13">IF(OR(E6="",G6=""),0,1)</f>
        <v>0</v>
      </c>
      <c r="AO6" s="4">
        <f t="shared" ref="AO6:AO16" si="14">IF(OR(E6="",G6=""),0,IF(E6&lt;G6,E6,G6))</f>
        <v>0</v>
      </c>
      <c r="AP6" s="4">
        <f t="shared" ref="AP6:AP16" si="15">IF(OR(E6="",G6=""),0,IF(E6&lt;G6,G6,E6))</f>
        <v>0</v>
      </c>
      <c r="AQ6" s="4">
        <f t="shared" ref="AQ6:AQ16" si="16">IF(AND(AO6=2,AP6=3),1,0)</f>
        <v>0</v>
      </c>
      <c r="AR6" s="4">
        <f t="shared" ref="AR6:AR16" si="17">IF(AND(AO6=1,AP6=3),1,0)</f>
        <v>0</v>
      </c>
      <c r="AS6" s="4">
        <f t="shared" ref="AS6:AS16" si="18">IF(AND(AO6=0,AP6=3),1,0)</f>
        <v>0</v>
      </c>
      <c r="AT6" s="4">
        <f t="shared" ref="AT6:AT16" si="19">IF(E6&lt;G6,SUM(I6,L6,O6,R6,U6,),SUM(K6,N6,Q6,T6,W6))</f>
        <v>0</v>
      </c>
      <c r="AU6" s="4">
        <f t="shared" ref="AU6:AU16" si="20">IF(E6&lt;G6,SUM(K6,N6,Q6,T6,W6),SUM(I6,L6,O6,R6,U6))</f>
        <v>0</v>
      </c>
      <c r="AV6" s="35">
        <v>3</v>
      </c>
      <c r="AW6" s="34" t="str">
        <f>VLOOKUP($AV6,Dummy!$A:$R,2,FALSE)</f>
        <v>Brasil</v>
      </c>
      <c r="AX6" s="32">
        <f>VLOOKUP($AV6,Dummy!$A:$R,3,FALSE)</f>
        <v>0</v>
      </c>
      <c r="AY6" s="32">
        <f>VLOOKUP($AV6,Dummy!$A:$R,4,FALSE)</f>
        <v>0</v>
      </c>
      <c r="AZ6" s="32">
        <f>VLOOKUP($AV6,Dummy!$A:$R,5,FALSE)</f>
        <v>0</v>
      </c>
      <c r="BA6" s="32">
        <f>VLOOKUP($AV6,Dummy!$A:$R,6,FALSE)</f>
        <v>0</v>
      </c>
      <c r="BB6" s="32">
        <f>VLOOKUP($AV6,Dummy!$A:$R,7,FALSE)</f>
        <v>0</v>
      </c>
      <c r="BC6" s="32">
        <f>VLOOKUP($AV6,Dummy!$A:$R,8,FALSE)</f>
        <v>0</v>
      </c>
      <c r="BD6" s="32">
        <f>VLOOKUP($AV6,Dummy!$A:$R,9,FALSE)</f>
        <v>0</v>
      </c>
      <c r="BE6" s="32">
        <f>VLOOKUP($AV6,Dummy!$A:$R,10,FALSE)</f>
        <v>0</v>
      </c>
      <c r="BF6" s="32">
        <f>VLOOKUP($AV6,Dummy!$A:$R,11,FALSE)</f>
        <v>0</v>
      </c>
      <c r="BG6" s="32">
        <f>VLOOKUP($AV6,Dummy!$A:$R,12,FALSE)</f>
        <v>0</v>
      </c>
      <c r="BH6" s="32">
        <f>VLOOKUP($AV6,Dummy!$A:$R,13,FALSE)</f>
        <v>0</v>
      </c>
      <c r="BI6" s="32">
        <f>VLOOKUP($AV6,Dummy!$A:$R,14,FALSE)</f>
        <v>0</v>
      </c>
      <c r="BJ6" s="33" t="str">
        <f>VLOOKUP($AV6,Dummy!$A:$R,15,FALSE)</f>
        <v>MAX</v>
      </c>
      <c r="BK6" s="32">
        <f>VLOOKUP($AV6,Dummy!$A:$R,16,FALSE)</f>
        <v>0</v>
      </c>
      <c r="BL6" s="32">
        <f>VLOOKUP($AV6,Dummy!$A:$R,17,FALSE)</f>
        <v>0</v>
      </c>
      <c r="BM6" s="33" t="str">
        <f>VLOOKUP($AV6,Dummy!$A:$R,18,FALSE)</f>
        <v>MAX</v>
      </c>
    </row>
    <row r="7" spans="2:65" x14ac:dyDescent="0.25">
      <c r="B7" s="17">
        <v>45812</v>
      </c>
      <c r="C7" s="21">
        <v>0.8125</v>
      </c>
      <c r="D7" s="29" t="s">
        <v>51</v>
      </c>
      <c r="E7" s="37"/>
      <c r="F7" s="11" t="s">
        <v>7</v>
      </c>
      <c r="G7" s="38"/>
      <c r="H7" s="25" t="s">
        <v>52</v>
      </c>
      <c r="I7" s="37"/>
      <c r="J7" s="11" t="s">
        <v>7</v>
      </c>
      <c r="K7" s="38"/>
      <c r="L7" s="37"/>
      <c r="M7" s="11" t="s">
        <v>7</v>
      </c>
      <c r="N7" s="38"/>
      <c r="O7" s="37"/>
      <c r="P7" s="11" t="s">
        <v>7</v>
      </c>
      <c r="Q7" s="38"/>
      <c r="R7" s="37"/>
      <c r="S7" s="11" t="s">
        <v>7</v>
      </c>
      <c r="T7" s="38"/>
      <c r="U7" s="37"/>
      <c r="V7" s="11" t="s">
        <v>7</v>
      </c>
      <c r="W7" s="38"/>
      <c r="X7" s="12">
        <f t="shared" si="0"/>
        <v>0</v>
      </c>
      <c r="Y7" s="13" t="s">
        <v>7</v>
      </c>
      <c r="Z7" s="14">
        <f t="shared" si="1"/>
        <v>0</v>
      </c>
      <c r="AB7" s="4">
        <f t="shared" si="2"/>
        <v>0</v>
      </c>
      <c r="AC7" s="4">
        <f t="shared" si="3"/>
        <v>0</v>
      </c>
      <c r="AD7" s="4">
        <f t="shared" si="4"/>
        <v>0</v>
      </c>
      <c r="AE7" s="4">
        <f t="shared" si="5"/>
        <v>0</v>
      </c>
      <c r="AF7" s="4">
        <f t="shared" si="6"/>
        <v>0</v>
      </c>
      <c r="AG7" s="4">
        <f t="shared" si="7"/>
        <v>0</v>
      </c>
      <c r="AH7" s="4">
        <f t="shared" si="8"/>
        <v>0</v>
      </c>
      <c r="AI7" s="4">
        <f t="shared" si="9"/>
        <v>0</v>
      </c>
      <c r="AJ7" s="4">
        <f t="shared" si="10"/>
        <v>0</v>
      </c>
      <c r="AK7" s="4">
        <f t="shared" si="11"/>
        <v>0</v>
      </c>
      <c r="AM7" s="4">
        <f t="shared" si="12"/>
        <v>0</v>
      </c>
      <c r="AN7" s="4">
        <f t="shared" si="13"/>
        <v>0</v>
      </c>
      <c r="AO7" s="4">
        <f t="shared" si="14"/>
        <v>0</v>
      </c>
      <c r="AP7" s="4">
        <f t="shared" si="15"/>
        <v>0</v>
      </c>
      <c r="AQ7" s="4">
        <f t="shared" si="16"/>
        <v>0</v>
      </c>
      <c r="AR7" s="4">
        <f t="shared" si="17"/>
        <v>0</v>
      </c>
      <c r="AS7" s="4">
        <f t="shared" si="18"/>
        <v>0</v>
      </c>
      <c r="AT7" s="4">
        <f t="shared" si="19"/>
        <v>0</v>
      </c>
      <c r="AU7" s="4">
        <f t="shared" si="20"/>
        <v>0</v>
      </c>
      <c r="AV7" s="35">
        <v>4</v>
      </c>
      <c r="AW7" s="34" t="str">
        <f>VLOOKUP($AV7,Dummy!$A:$R,2,FALSE)</f>
        <v>Bulgária</v>
      </c>
      <c r="AX7" s="32">
        <f>VLOOKUP($AV7,Dummy!$A:$R,3,FALSE)</f>
        <v>0</v>
      </c>
      <c r="AY7" s="32">
        <f>VLOOKUP($AV7,Dummy!$A:$R,4,FALSE)</f>
        <v>0</v>
      </c>
      <c r="AZ7" s="32">
        <f>VLOOKUP($AV7,Dummy!$A:$R,5,FALSE)</f>
        <v>0</v>
      </c>
      <c r="BA7" s="32">
        <f>VLOOKUP($AV7,Dummy!$A:$R,6,FALSE)</f>
        <v>0</v>
      </c>
      <c r="BB7" s="32">
        <f>VLOOKUP($AV7,Dummy!$A:$R,7,FALSE)</f>
        <v>0</v>
      </c>
      <c r="BC7" s="32">
        <f>VLOOKUP($AV7,Dummy!$A:$R,8,FALSE)</f>
        <v>0</v>
      </c>
      <c r="BD7" s="32">
        <f>VLOOKUP($AV7,Dummy!$A:$R,9,FALSE)</f>
        <v>0</v>
      </c>
      <c r="BE7" s="32">
        <f>VLOOKUP($AV7,Dummy!$A:$R,10,FALSE)</f>
        <v>0</v>
      </c>
      <c r="BF7" s="32">
        <f>VLOOKUP($AV7,Dummy!$A:$R,11,FALSE)</f>
        <v>0</v>
      </c>
      <c r="BG7" s="32">
        <f>VLOOKUP($AV7,Dummy!$A:$R,12,FALSE)</f>
        <v>0</v>
      </c>
      <c r="BH7" s="32">
        <f>VLOOKUP($AV7,Dummy!$A:$R,13,FALSE)</f>
        <v>0</v>
      </c>
      <c r="BI7" s="32">
        <f>VLOOKUP($AV7,Dummy!$A:$R,14,FALSE)</f>
        <v>0</v>
      </c>
      <c r="BJ7" s="33" t="str">
        <f>VLOOKUP($AV7,Dummy!$A:$R,15,FALSE)</f>
        <v>MAX</v>
      </c>
      <c r="BK7" s="32">
        <f>VLOOKUP($AV7,Dummy!$A:$R,16,FALSE)</f>
        <v>0</v>
      </c>
      <c r="BL7" s="32">
        <f>VLOOKUP($AV7,Dummy!$A:$R,17,FALSE)</f>
        <v>0</v>
      </c>
      <c r="BM7" s="33" t="str">
        <f>VLOOKUP($AV7,Dummy!$A:$R,18,FALSE)</f>
        <v>MAX</v>
      </c>
    </row>
    <row r="8" spans="2:65" x14ac:dyDescent="0.25">
      <c r="B8" s="17">
        <v>45813</v>
      </c>
      <c r="C8" s="21">
        <v>0.66666666666666663</v>
      </c>
      <c r="D8" s="29" t="s">
        <v>51</v>
      </c>
      <c r="E8" s="37"/>
      <c r="F8" s="11" t="s">
        <v>7</v>
      </c>
      <c r="G8" s="38"/>
      <c r="H8" s="25" t="s">
        <v>57</v>
      </c>
      <c r="I8" s="37"/>
      <c r="J8" s="11" t="s">
        <v>7</v>
      </c>
      <c r="K8" s="38"/>
      <c r="L8" s="37"/>
      <c r="M8" s="11" t="s">
        <v>7</v>
      </c>
      <c r="N8" s="38"/>
      <c r="O8" s="37"/>
      <c r="P8" s="11" t="s">
        <v>7</v>
      </c>
      <c r="Q8" s="38"/>
      <c r="R8" s="37">
        <v>20</v>
      </c>
      <c r="S8" s="11" t="s">
        <v>7</v>
      </c>
      <c r="T8" s="38">
        <v>25</v>
      </c>
      <c r="U8" s="37">
        <v>15</v>
      </c>
      <c r="V8" s="11" t="s">
        <v>7</v>
      </c>
      <c r="W8" s="38">
        <v>11</v>
      </c>
      <c r="X8" s="12">
        <f t="shared" si="0"/>
        <v>35</v>
      </c>
      <c r="Y8" s="13" t="s">
        <v>7</v>
      </c>
      <c r="Z8" s="14">
        <f t="shared" si="1"/>
        <v>36</v>
      </c>
      <c r="AB8" s="4">
        <f t="shared" si="2"/>
        <v>0</v>
      </c>
      <c r="AC8" s="4">
        <f t="shared" si="3"/>
        <v>0</v>
      </c>
      <c r="AD8" s="4">
        <f t="shared" si="4"/>
        <v>0</v>
      </c>
      <c r="AE8" s="4">
        <f t="shared" si="5"/>
        <v>0</v>
      </c>
      <c r="AF8" s="4">
        <f t="shared" si="6"/>
        <v>0</v>
      </c>
      <c r="AG8" s="4">
        <f t="shared" si="7"/>
        <v>0</v>
      </c>
      <c r="AH8" s="4">
        <f t="shared" si="8"/>
        <v>0</v>
      </c>
      <c r="AI8" s="4">
        <f t="shared" si="9"/>
        <v>0</v>
      </c>
      <c r="AJ8" s="4">
        <f t="shared" si="10"/>
        <v>36</v>
      </c>
      <c r="AK8" s="4">
        <f t="shared" si="11"/>
        <v>35</v>
      </c>
      <c r="AM8" s="4">
        <f t="shared" si="12"/>
        <v>0</v>
      </c>
      <c r="AN8" s="4">
        <f t="shared" si="13"/>
        <v>0</v>
      </c>
      <c r="AO8" s="4">
        <f t="shared" si="14"/>
        <v>0</v>
      </c>
      <c r="AP8" s="4">
        <f t="shared" si="15"/>
        <v>0</v>
      </c>
      <c r="AQ8" s="4">
        <f t="shared" si="16"/>
        <v>0</v>
      </c>
      <c r="AR8" s="4">
        <f t="shared" si="17"/>
        <v>0</v>
      </c>
      <c r="AS8" s="4">
        <f t="shared" si="18"/>
        <v>0</v>
      </c>
      <c r="AT8" s="4">
        <f t="shared" si="19"/>
        <v>36</v>
      </c>
      <c r="AU8" s="4">
        <f t="shared" si="20"/>
        <v>35</v>
      </c>
      <c r="AV8" s="35">
        <v>5</v>
      </c>
      <c r="AW8" s="34" t="str">
        <f>VLOOKUP($AV8,Dummy!$A:$R,2,FALSE)</f>
        <v>Canadá</v>
      </c>
      <c r="AX8" s="32">
        <f>VLOOKUP($AV8,Dummy!$A:$R,3,FALSE)</f>
        <v>0</v>
      </c>
      <c r="AY8" s="32">
        <f>VLOOKUP($AV8,Dummy!$A:$R,4,FALSE)</f>
        <v>0</v>
      </c>
      <c r="AZ8" s="32">
        <f>VLOOKUP($AV8,Dummy!$A:$R,5,FALSE)</f>
        <v>0</v>
      </c>
      <c r="BA8" s="32">
        <f>VLOOKUP($AV8,Dummy!$A:$R,6,FALSE)</f>
        <v>0</v>
      </c>
      <c r="BB8" s="32">
        <f>VLOOKUP($AV8,Dummy!$A:$R,7,FALSE)</f>
        <v>0</v>
      </c>
      <c r="BC8" s="32">
        <f>VLOOKUP($AV8,Dummy!$A:$R,8,FALSE)</f>
        <v>0</v>
      </c>
      <c r="BD8" s="32">
        <f>VLOOKUP($AV8,Dummy!$A:$R,9,FALSE)</f>
        <v>0</v>
      </c>
      <c r="BE8" s="32">
        <f>VLOOKUP($AV8,Dummy!$A:$R,10,FALSE)</f>
        <v>0</v>
      </c>
      <c r="BF8" s="32">
        <f>VLOOKUP($AV8,Dummy!$A:$R,11,FALSE)</f>
        <v>0</v>
      </c>
      <c r="BG8" s="32">
        <f>VLOOKUP($AV8,Dummy!$A:$R,12,FALSE)</f>
        <v>0</v>
      </c>
      <c r="BH8" s="32">
        <f>VLOOKUP($AV8,Dummy!$A:$R,13,FALSE)</f>
        <v>0</v>
      </c>
      <c r="BI8" s="32">
        <f>VLOOKUP($AV8,Dummy!$A:$R,14,FALSE)</f>
        <v>0</v>
      </c>
      <c r="BJ8" s="33" t="str">
        <f>VLOOKUP($AV8,Dummy!$A:$R,15,FALSE)</f>
        <v>MAX</v>
      </c>
      <c r="BK8" s="32">
        <f>VLOOKUP($AV8,Dummy!$A:$R,16,FALSE)</f>
        <v>0</v>
      </c>
      <c r="BL8" s="32">
        <f>VLOOKUP($AV8,Dummy!$A:$R,17,FALSE)</f>
        <v>0</v>
      </c>
      <c r="BM8" s="33" t="str">
        <f>VLOOKUP($AV8,Dummy!$A:$R,18,FALSE)</f>
        <v>MAX</v>
      </c>
    </row>
    <row r="9" spans="2:65" x14ac:dyDescent="0.25">
      <c r="B9" s="17">
        <v>45813</v>
      </c>
      <c r="C9" s="21">
        <v>0.8125</v>
      </c>
      <c r="D9" s="29" t="s">
        <v>52</v>
      </c>
      <c r="E9" s="37"/>
      <c r="F9" s="11" t="s">
        <v>7</v>
      </c>
      <c r="G9" s="38"/>
      <c r="H9" s="25" t="s">
        <v>38</v>
      </c>
      <c r="I9" s="37"/>
      <c r="J9" s="11" t="s">
        <v>7</v>
      </c>
      <c r="K9" s="38"/>
      <c r="L9" s="37"/>
      <c r="M9" s="11" t="s">
        <v>7</v>
      </c>
      <c r="N9" s="38"/>
      <c r="O9" s="37"/>
      <c r="P9" s="11" t="s">
        <v>7</v>
      </c>
      <c r="Q9" s="38"/>
      <c r="R9" s="37">
        <v>22</v>
      </c>
      <c r="S9" s="11" t="s">
        <v>7</v>
      </c>
      <c r="T9" s="38">
        <v>25</v>
      </c>
      <c r="U9" s="37"/>
      <c r="V9" s="11" t="s">
        <v>7</v>
      </c>
      <c r="W9" s="38"/>
      <c r="X9" s="12">
        <f t="shared" si="0"/>
        <v>22</v>
      </c>
      <c r="Y9" s="13" t="s">
        <v>7</v>
      </c>
      <c r="Z9" s="14">
        <f t="shared" si="1"/>
        <v>25</v>
      </c>
      <c r="AB9" s="4">
        <f t="shared" si="2"/>
        <v>0</v>
      </c>
      <c r="AC9" s="4">
        <f t="shared" si="3"/>
        <v>0</v>
      </c>
      <c r="AD9" s="4">
        <f t="shared" si="4"/>
        <v>0</v>
      </c>
      <c r="AE9" s="4">
        <f t="shared" si="5"/>
        <v>0</v>
      </c>
      <c r="AF9" s="4">
        <f t="shared" si="6"/>
        <v>0</v>
      </c>
      <c r="AG9" s="4">
        <f t="shared" si="7"/>
        <v>0</v>
      </c>
      <c r="AH9" s="4">
        <f t="shared" si="8"/>
        <v>0</v>
      </c>
      <c r="AI9" s="4">
        <f t="shared" si="9"/>
        <v>0</v>
      </c>
      <c r="AJ9" s="4">
        <f t="shared" si="10"/>
        <v>25</v>
      </c>
      <c r="AK9" s="4">
        <f t="shared" si="11"/>
        <v>22</v>
      </c>
      <c r="AM9" s="4">
        <f t="shared" si="12"/>
        <v>0</v>
      </c>
      <c r="AN9" s="4">
        <f t="shared" si="13"/>
        <v>0</v>
      </c>
      <c r="AO9" s="4">
        <f t="shared" si="14"/>
        <v>0</v>
      </c>
      <c r="AP9" s="4">
        <f t="shared" si="15"/>
        <v>0</v>
      </c>
      <c r="AQ9" s="4">
        <f t="shared" si="16"/>
        <v>0</v>
      </c>
      <c r="AR9" s="4">
        <f t="shared" si="17"/>
        <v>0</v>
      </c>
      <c r="AS9" s="4">
        <f t="shared" si="18"/>
        <v>0</v>
      </c>
      <c r="AT9" s="4">
        <f t="shared" si="19"/>
        <v>25</v>
      </c>
      <c r="AU9" s="4">
        <f t="shared" si="20"/>
        <v>22</v>
      </c>
      <c r="AV9" s="35">
        <v>6</v>
      </c>
      <c r="AW9" s="34" t="str">
        <f>VLOOKUP($AV9,Dummy!$A:$R,2,FALSE)</f>
        <v>República Tcheca</v>
      </c>
      <c r="AX9" s="32">
        <f>VLOOKUP($AV9,Dummy!$A:$R,3,FALSE)</f>
        <v>0</v>
      </c>
      <c r="AY9" s="32">
        <f>VLOOKUP($AV9,Dummy!$A:$R,4,FALSE)</f>
        <v>0</v>
      </c>
      <c r="AZ9" s="32">
        <f>VLOOKUP($AV9,Dummy!$A:$R,5,FALSE)</f>
        <v>0</v>
      </c>
      <c r="BA9" s="32">
        <f>VLOOKUP($AV9,Dummy!$A:$R,6,FALSE)</f>
        <v>0</v>
      </c>
      <c r="BB9" s="32">
        <f>VLOOKUP($AV9,Dummy!$A:$R,7,FALSE)</f>
        <v>0</v>
      </c>
      <c r="BC9" s="32">
        <f>VLOOKUP($AV9,Dummy!$A:$R,8,FALSE)</f>
        <v>0</v>
      </c>
      <c r="BD9" s="32">
        <f>VLOOKUP($AV9,Dummy!$A:$R,9,FALSE)</f>
        <v>0</v>
      </c>
      <c r="BE9" s="32">
        <f>VLOOKUP($AV9,Dummy!$A:$R,10,FALSE)</f>
        <v>0</v>
      </c>
      <c r="BF9" s="32">
        <f>VLOOKUP($AV9,Dummy!$A:$R,11,FALSE)</f>
        <v>0</v>
      </c>
      <c r="BG9" s="32">
        <f>VLOOKUP($AV9,Dummy!$A:$R,12,FALSE)</f>
        <v>0</v>
      </c>
      <c r="BH9" s="32">
        <f>VLOOKUP($AV9,Dummy!$A:$R,13,FALSE)</f>
        <v>0</v>
      </c>
      <c r="BI9" s="32">
        <f>VLOOKUP($AV9,Dummy!$A:$R,14,FALSE)</f>
        <v>0</v>
      </c>
      <c r="BJ9" s="33" t="str">
        <f>VLOOKUP($AV9,Dummy!$A:$R,15,FALSE)</f>
        <v>MAX</v>
      </c>
      <c r="BK9" s="32">
        <f>VLOOKUP($AV9,Dummy!$A:$R,16,FALSE)</f>
        <v>0</v>
      </c>
      <c r="BL9" s="32">
        <f>VLOOKUP($AV9,Dummy!$A:$R,17,FALSE)</f>
        <v>0</v>
      </c>
      <c r="BM9" s="33" t="str">
        <f>VLOOKUP($AV9,Dummy!$A:$R,18,FALSE)</f>
        <v>MAX</v>
      </c>
    </row>
    <row r="10" spans="2:65" x14ac:dyDescent="0.25">
      <c r="B10" s="17">
        <v>45814</v>
      </c>
      <c r="C10" s="21">
        <v>0.66666666666666663</v>
      </c>
      <c r="D10" s="29" t="s">
        <v>57</v>
      </c>
      <c r="E10" s="37"/>
      <c r="F10" s="11" t="s">
        <v>7</v>
      </c>
      <c r="G10" s="38"/>
      <c r="H10" s="25" t="s">
        <v>38</v>
      </c>
      <c r="I10" s="37"/>
      <c r="J10" s="11" t="s">
        <v>7</v>
      </c>
      <c r="K10" s="38"/>
      <c r="L10" s="37"/>
      <c r="M10" s="11" t="s">
        <v>7</v>
      </c>
      <c r="N10" s="38"/>
      <c r="O10" s="37"/>
      <c r="P10" s="11" t="s">
        <v>7</v>
      </c>
      <c r="Q10" s="38"/>
      <c r="R10" s="37"/>
      <c r="S10" s="11" t="s">
        <v>7</v>
      </c>
      <c r="T10" s="38"/>
      <c r="U10" s="37"/>
      <c r="V10" s="11" t="s">
        <v>7</v>
      </c>
      <c r="W10" s="38"/>
      <c r="X10" s="12">
        <f t="shared" si="0"/>
        <v>0</v>
      </c>
      <c r="Y10" s="13" t="s">
        <v>7</v>
      </c>
      <c r="Z10" s="14">
        <f t="shared" si="1"/>
        <v>0</v>
      </c>
      <c r="AB10" s="4">
        <f t="shared" si="2"/>
        <v>0</v>
      </c>
      <c r="AC10" s="4">
        <f t="shared" si="3"/>
        <v>0</v>
      </c>
      <c r="AD10" s="4">
        <f t="shared" si="4"/>
        <v>0</v>
      </c>
      <c r="AE10" s="4">
        <f t="shared" si="5"/>
        <v>0</v>
      </c>
      <c r="AF10" s="4">
        <f t="shared" si="6"/>
        <v>0</v>
      </c>
      <c r="AG10" s="4">
        <f t="shared" si="7"/>
        <v>0</v>
      </c>
      <c r="AH10" s="4">
        <f t="shared" si="8"/>
        <v>0</v>
      </c>
      <c r="AI10" s="4">
        <f t="shared" si="9"/>
        <v>0</v>
      </c>
      <c r="AJ10" s="4">
        <f t="shared" si="10"/>
        <v>0</v>
      </c>
      <c r="AK10" s="4">
        <f t="shared" si="11"/>
        <v>0</v>
      </c>
      <c r="AM10" s="4">
        <f t="shared" si="12"/>
        <v>0</v>
      </c>
      <c r="AN10" s="4">
        <f t="shared" si="13"/>
        <v>0</v>
      </c>
      <c r="AO10" s="4">
        <f t="shared" si="14"/>
        <v>0</v>
      </c>
      <c r="AP10" s="4">
        <f t="shared" si="15"/>
        <v>0</v>
      </c>
      <c r="AQ10" s="4">
        <f t="shared" si="16"/>
        <v>0</v>
      </c>
      <c r="AR10" s="4">
        <f t="shared" si="17"/>
        <v>0</v>
      </c>
      <c r="AS10" s="4">
        <f t="shared" si="18"/>
        <v>0</v>
      </c>
      <c r="AT10" s="4">
        <f t="shared" si="19"/>
        <v>0</v>
      </c>
      <c r="AU10" s="4">
        <f t="shared" si="20"/>
        <v>0</v>
      </c>
      <c r="AV10" s="35">
        <v>7</v>
      </c>
      <c r="AW10" s="34" t="str">
        <f>VLOOKUP($AV10,Dummy!$A:$R,2,FALSE)</f>
        <v>China</v>
      </c>
      <c r="AX10" s="32">
        <f>VLOOKUP($AV10,Dummy!$A:$R,3,FALSE)</f>
        <v>0</v>
      </c>
      <c r="AY10" s="32">
        <f>VLOOKUP($AV10,Dummy!$A:$R,4,FALSE)</f>
        <v>0</v>
      </c>
      <c r="AZ10" s="32">
        <f>VLOOKUP($AV10,Dummy!$A:$R,5,FALSE)</f>
        <v>0</v>
      </c>
      <c r="BA10" s="32">
        <f>VLOOKUP($AV10,Dummy!$A:$R,6,FALSE)</f>
        <v>0</v>
      </c>
      <c r="BB10" s="32">
        <f>VLOOKUP($AV10,Dummy!$A:$R,7,FALSE)</f>
        <v>0</v>
      </c>
      <c r="BC10" s="32">
        <f>VLOOKUP($AV10,Dummy!$A:$R,8,FALSE)</f>
        <v>0</v>
      </c>
      <c r="BD10" s="32">
        <f>VLOOKUP($AV10,Dummy!$A:$R,9,FALSE)</f>
        <v>0</v>
      </c>
      <c r="BE10" s="32">
        <f>VLOOKUP($AV10,Dummy!$A:$R,10,FALSE)</f>
        <v>0</v>
      </c>
      <c r="BF10" s="32">
        <f>VLOOKUP($AV10,Dummy!$A:$R,11,FALSE)</f>
        <v>0</v>
      </c>
      <c r="BG10" s="32">
        <f>VLOOKUP($AV10,Dummy!$A:$R,12,FALSE)</f>
        <v>0</v>
      </c>
      <c r="BH10" s="32">
        <f>VLOOKUP($AV10,Dummy!$A:$R,13,FALSE)</f>
        <v>0</v>
      </c>
      <c r="BI10" s="32">
        <f>VLOOKUP($AV10,Dummy!$A:$R,14,FALSE)</f>
        <v>0</v>
      </c>
      <c r="BJ10" s="33" t="str">
        <f>VLOOKUP($AV10,Dummy!$A:$R,15,FALSE)</f>
        <v>MAX</v>
      </c>
      <c r="BK10" s="32">
        <f>VLOOKUP($AV10,Dummy!$A:$R,16,FALSE)</f>
        <v>0</v>
      </c>
      <c r="BL10" s="32">
        <f>VLOOKUP($AV10,Dummy!$A:$R,17,FALSE)</f>
        <v>0</v>
      </c>
      <c r="BM10" s="33" t="str">
        <f>VLOOKUP($AV10,Dummy!$A:$R,18,FALSE)</f>
        <v>MAX</v>
      </c>
    </row>
    <row r="11" spans="2:65" x14ac:dyDescent="0.25">
      <c r="B11" s="17">
        <v>45814</v>
      </c>
      <c r="C11" s="21">
        <v>0.8125</v>
      </c>
      <c r="D11" s="29" t="s">
        <v>58</v>
      </c>
      <c r="E11" s="37"/>
      <c r="F11" s="11" t="s">
        <v>7</v>
      </c>
      <c r="G11" s="38"/>
      <c r="H11" s="25" t="s">
        <v>30</v>
      </c>
      <c r="I11" s="37"/>
      <c r="J11" s="11" t="s">
        <v>7</v>
      </c>
      <c r="K11" s="38"/>
      <c r="L11" s="37"/>
      <c r="M11" s="11" t="s">
        <v>7</v>
      </c>
      <c r="N11" s="38"/>
      <c r="O11" s="37"/>
      <c r="P11" s="11" t="s">
        <v>7</v>
      </c>
      <c r="Q11" s="38"/>
      <c r="R11" s="37"/>
      <c r="S11" s="11" t="s">
        <v>7</v>
      </c>
      <c r="T11" s="38"/>
      <c r="U11" s="37"/>
      <c r="V11" s="11" t="s">
        <v>7</v>
      </c>
      <c r="W11" s="38"/>
      <c r="X11" s="12">
        <f t="shared" si="0"/>
        <v>0</v>
      </c>
      <c r="Y11" s="13" t="s">
        <v>7</v>
      </c>
      <c r="Z11" s="14">
        <f t="shared" si="1"/>
        <v>0</v>
      </c>
      <c r="AB11" s="4">
        <f t="shared" si="2"/>
        <v>0</v>
      </c>
      <c r="AC11" s="4">
        <f t="shared" si="3"/>
        <v>0</v>
      </c>
      <c r="AD11" s="4">
        <f t="shared" si="4"/>
        <v>0</v>
      </c>
      <c r="AE11" s="4">
        <f t="shared" si="5"/>
        <v>0</v>
      </c>
      <c r="AF11" s="4">
        <f t="shared" si="6"/>
        <v>0</v>
      </c>
      <c r="AG11" s="4">
        <f t="shared" si="7"/>
        <v>0</v>
      </c>
      <c r="AH11" s="4">
        <f t="shared" si="8"/>
        <v>0</v>
      </c>
      <c r="AI11" s="4">
        <f t="shared" si="9"/>
        <v>0</v>
      </c>
      <c r="AJ11" s="4">
        <f t="shared" si="10"/>
        <v>0</v>
      </c>
      <c r="AK11" s="4">
        <f t="shared" si="11"/>
        <v>0</v>
      </c>
      <c r="AM11" s="4">
        <f t="shared" si="12"/>
        <v>0</v>
      </c>
      <c r="AN11" s="4">
        <f t="shared" si="13"/>
        <v>0</v>
      </c>
      <c r="AO11" s="4">
        <f t="shared" si="14"/>
        <v>0</v>
      </c>
      <c r="AP11" s="4">
        <f t="shared" si="15"/>
        <v>0</v>
      </c>
      <c r="AQ11" s="4">
        <f t="shared" si="16"/>
        <v>0</v>
      </c>
      <c r="AR11" s="4">
        <f t="shared" si="17"/>
        <v>0</v>
      </c>
      <c r="AS11" s="4">
        <f t="shared" si="18"/>
        <v>0</v>
      </c>
      <c r="AT11" s="4">
        <f t="shared" si="19"/>
        <v>0</v>
      </c>
      <c r="AU11" s="4">
        <f t="shared" si="20"/>
        <v>0</v>
      </c>
      <c r="AV11" s="35">
        <v>8</v>
      </c>
      <c r="AW11" s="34" t="str">
        <f>VLOOKUP($AV11,Dummy!$A:$R,2,FALSE)</f>
        <v>Coreia do Sul</v>
      </c>
      <c r="AX11" s="32">
        <f>VLOOKUP($AV11,Dummy!$A:$R,3,FALSE)</f>
        <v>0</v>
      </c>
      <c r="AY11" s="32">
        <f>VLOOKUP($AV11,Dummy!$A:$R,4,FALSE)</f>
        <v>0</v>
      </c>
      <c r="AZ11" s="32">
        <f>VLOOKUP($AV11,Dummy!$A:$R,5,FALSE)</f>
        <v>0</v>
      </c>
      <c r="BA11" s="32">
        <f>VLOOKUP($AV11,Dummy!$A:$R,6,FALSE)</f>
        <v>0</v>
      </c>
      <c r="BB11" s="32">
        <f>VLOOKUP($AV11,Dummy!$A:$R,7,FALSE)</f>
        <v>0</v>
      </c>
      <c r="BC11" s="32">
        <f>VLOOKUP($AV11,Dummy!$A:$R,8,FALSE)</f>
        <v>0</v>
      </c>
      <c r="BD11" s="32">
        <f>VLOOKUP($AV11,Dummy!$A:$R,9,FALSE)</f>
        <v>0</v>
      </c>
      <c r="BE11" s="32">
        <f>VLOOKUP($AV11,Dummy!$A:$R,10,FALSE)</f>
        <v>0</v>
      </c>
      <c r="BF11" s="32">
        <f>VLOOKUP($AV11,Dummy!$A:$R,11,FALSE)</f>
        <v>0</v>
      </c>
      <c r="BG11" s="32">
        <f>VLOOKUP($AV11,Dummy!$A:$R,12,FALSE)</f>
        <v>0</v>
      </c>
      <c r="BH11" s="32">
        <f>VLOOKUP($AV11,Dummy!$A:$R,13,FALSE)</f>
        <v>0</v>
      </c>
      <c r="BI11" s="32">
        <f>VLOOKUP($AV11,Dummy!$A:$R,14,FALSE)</f>
        <v>0</v>
      </c>
      <c r="BJ11" s="33" t="str">
        <f>VLOOKUP($AV11,Dummy!$A:$R,15,FALSE)</f>
        <v>MAX</v>
      </c>
      <c r="BK11" s="32">
        <f>VLOOKUP($AV11,Dummy!$A:$R,16,FALSE)</f>
        <v>0</v>
      </c>
      <c r="BL11" s="32">
        <f>VLOOKUP($AV11,Dummy!$A:$R,17,FALSE)</f>
        <v>0</v>
      </c>
      <c r="BM11" s="33" t="str">
        <f>VLOOKUP($AV11,Dummy!$A:$R,18,FALSE)</f>
        <v>MAX</v>
      </c>
    </row>
    <row r="12" spans="2:65" x14ac:dyDescent="0.25">
      <c r="B12" s="17">
        <v>45815</v>
      </c>
      <c r="C12" s="21">
        <v>0.66666666666666663</v>
      </c>
      <c r="D12" s="29" t="s">
        <v>52</v>
      </c>
      <c r="E12" s="37"/>
      <c r="F12" s="11" t="s">
        <v>7</v>
      </c>
      <c r="G12" s="38"/>
      <c r="H12" s="25" t="s">
        <v>30</v>
      </c>
      <c r="I12" s="37"/>
      <c r="J12" s="11" t="s">
        <v>7</v>
      </c>
      <c r="K12" s="38"/>
      <c r="L12" s="37"/>
      <c r="M12" s="11" t="s">
        <v>7</v>
      </c>
      <c r="N12" s="38"/>
      <c r="O12" s="37"/>
      <c r="P12" s="11" t="s">
        <v>7</v>
      </c>
      <c r="Q12" s="38"/>
      <c r="R12" s="37"/>
      <c r="S12" s="11" t="s">
        <v>7</v>
      </c>
      <c r="T12" s="38"/>
      <c r="U12" s="37"/>
      <c r="V12" s="11" t="s">
        <v>7</v>
      </c>
      <c r="W12" s="38"/>
      <c r="X12" s="12">
        <f t="shared" si="0"/>
        <v>0</v>
      </c>
      <c r="Y12" s="13" t="s">
        <v>7</v>
      </c>
      <c r="Z12" s="14">
        <f t="shared" si="1"/>
        <v>0</v>
      </c>
      <c r="AB12" s="4">
        <f t="shared" si="2"/>
        <v>0</v>
      </c>
      <c r="AC12" s="4">
        <f t="shared" si="3"/>
        <v>0</v>
      </c>
      <c r="AD12" s="4">
        <f t="shared" si="4"/>
        <v>0</v>
      </c>
      <c r="AE12" s="4">
        <f t="shared" si="5"/>
        <v>0</v>
      </c>
      <c r="AF12" s="4">
        <f t="shared" si="6"/>
        <v>0</v>
      </c>
      <c r="AG12" s="4">
        <f t="shared" si="7"/>
        <v>0</v>
      </c>
      <c r="AH12" s="4">
        <f t="shared" si="8"/>
        <v>0</v>
      </c>
      <c r="AI12" s="4">
        <f t="shared" si="9"/>
        <v>0</v>
      </c>
      <c r="AJ12" s="4">
        <f t="shared" si="10"/>
        <v>0</v>
      </c>
      <c r="AK12" s="4">
        <f t="shared" si="11"/>
        <v>0</v>
      </c>
      <c r="AM12" s="4">
        <f t="shared" si="12"/>
        <v>0</v>
      </c>
      <c r="AN12" s="4">
        <f t="shared" si="13"/>
        <v>0</v>
      </c>
      <c r="AO12" s="4">
        <f t="shared" si="14"/>
        <v>0</v>
      </c>
      <c r="AP12" s="4">
        <f t="shared" si="15"/>
        <v>0</v>
      </c>
      <c r="AQ12" s="4">
        <f t="shared" si="16"/>
        <v>0</v>
      </c>
      <c r="AR12" s="4">
        <f t="shared" si="17"/>
        <v>0</v>
      </c>
      <c r="AS12" s="4">
        <f t="shared" si="18"/>
        <v>0</v>
      </c>
      <c r="AT12" s="4">
        <f t="shared" si="19"/>
        <v>0</v>
      </c>
      <c r="AU12" s="4">
        <f t="shared" si="20"/>
        <v>0</v>
      </c>
      <c r="AV12" s="35">
        <v>9</v>
      </c>
      <c r="AW12" s="34" t="str">
        <f>VLOOKUP($AV12,Dummy!$A:$R,2,FALSE)</f>
        <v>Estados Unidos</v>
      </c>
      <c r="AX12" s="32">
        <f>VLOOKUP($AV12,Dummy!$A:$R,3,FALSE)</f>
        <v>0</v>
      </c>
      <c r="AY12" s="32">
        <f>VLOOKUP($AV12,Dummy!$A:$R,4,FALSE)</f>
        <v>0</v>
      </c>
      <c r="AZ12" s="32">
        <f>VLOOKUP($AV12,Dummy!$A:$R,5,FALSE)</f>
        <v>0</v>
      </c>
      <c r="BA12" s="32">
        <f>VLOOKUP($AV12,Dummy!$A:$R,6,FALSE)</f>
        <v>0</v>
      </c>
      <c r="BB12" s="32">
        <f>VLOOKUP($AV12,Dummy!$A:$R,7,FALSE)</f>
        <v>0</v>
      </c>
      <c r="BC12" s="32">
        <f>VLOOKUP($AV12,Dummy!$A:$R,8,FALSE)</f>
        <v>0</v>
      </c>
      <c r="BD12" s="32">
        <f>VLOOKUP($AV12,Dummy!$A:$R,9,FALSE)</f>
        <v>0</v>
      </c>
      <c r="BE12" s="32">
        <f>VLOOKUP($AV12,Dummy!$A:$R,10,FALSE)</f>
        <v>0</v>
      </c>
      <c r="BF12" s="32">
        <f>VLOOKUP($AV12,Dummy!$A:$R,11,FALSE)</f>
        <v>0</v>
      </c>
      <c r="BG12" s="32">
        <f>VLOOKUP($AV12,Dummy!$A:$R,12,FALSE)</f>
        <v>0</v>
      </c>
      <c r="BH12" s="32">
        <f>VLOOKUP($AV12,Dummy!$A:$R,13,FALSE)</f>
        <v>0</v>
      </c>
      <c r="BI12" s="32">
        <f>VLOOKUP($AV12,Dummy!$A:$R,14,FALSE)</f>
        <v>0</v>
      </c>
      <c r="BJ12" s="33" t="str">
        <f>VLOOKUP($AV12,Dummy!$A:$R,15,FALSE)</f>
        <v>MAX</v>
      </c>
      <c r="BK12" s="32">
        <f>VLOOKUP($AV12,Dummy!$A:$R,16,FALSE)</f>
        <v>0</v>
      </c>
      <c r="BL12" s="32">
        <f>VLOOKUP($AV12,Dummy!$A:$R,17,FALSE)</f>
        <v>0</v>
      </c>
      <c r="BM12" s="33" t="str">
        <f>VLOOKUP($AV12,Dummy!$A:$R,18,FALSE)</f>
        <v>MAX</v>
      </c>
    </row>
    <row r="13" spans="2:65" x14ac:dyDescent="0.25">
      <c r="B13" s="17">
        <v>45815</v>
      </c>
      <c r="C13" s="21">
        <v>0.8125</v>
      </c>
      <c r="D13" s="29" t="s">
        <v>51</v>
      </c>
      <c r="E13" s="37"/>
      <c r="F13" s="11" t="s">
        <v>7</v>
      </c>
      <c r="G13" s="38"/>
      <c r="H13" s="25" t="s">
        <v>58</v>
      </c>
      <c r="I13" s="37"/>
      <c r="J13" s="11" t="s">
        <v>7</v>
      </c>
      <c r="K13" s="38"/>
      <c r="L13" s="37"/>
      <c r="M13" s="11" t="s">
        <v>7</v>
      </c>
      <c r="N13" s="38"/>
      <c r="O13" s="37"/>
      <c r="P13" s="11" t="s">
        <v>7</v>
      </c>
      <c r="Q13" s="38"/>
      <c r="R13" s="37"/>
      <c r="S13" s="11" t="s">
        <v>7</v>
      </c>
      <c r="T13" s="38"/>
      <c r="U13" s="37"/>
      <c r="V13" s="11" t="s">
        <v>7</v>
      </c>
      <c r="W13" s="38"/>
      <c r="X13" s="12">
        <f t="shared" si="0"/>
        <v>0</v>
      </c>
      <c r="Y13" s="13" t="s">
        <v>7</v>
      </c>
      <c r="Z13" s="14">
        <f t="shared" si="1"/>
        <v>0</v>
      </c>
      <c r="AB13" s="4">
        <f t="shared" si="2"/>
        <v>0</v>
      </c>
      <c r="AC13" s="4">
        <f t="shared" si="3"/>
        <v>0</v>
      </c>
      <c r="AD13" s="4">
        <f t="shared" si="4"/>
        <v>0</v>
      </c>
      <c r="AE13" s="4">
        <f t="shared" si="5"/>
        <v>0</v>
      </c>
      <c r="AF13" s="4">
        <f t="shared" si="6"/>
        <v>0</v>
      </c>
      <c r="AG13" s="4">
        <f t="shared" si="7"/>
        <v>0</v>
      </c>
      <c r="AH13" s="4">
        <f t="shared" si="8"/>
        <v>0</v>
      </c>
      <c r="AI13" s="4">
        <f t="shared" si="9"/>
        <v>0</v>
      </c>
      <c r="AJ13" s="4">
        <f t="shared" si="10"/>
        <v>0</v>
      </c>
      <c r="AK13" s="4">
        <f t="shared" si="11"/>
        <v>0</v>
      </c>
      <c r="AM13" s="4">
        <f t="shared" si="12"/>
        <v>0</v>
      </c>
      <c r="AN13" s="4">
        <f t="shared" si="13"/>
        <v>0</v>
      </c>
      <c r="AO13" s="4">
        <f t="shared" si="14"/>
        <v>0</v>
      </c>
      <c r="AP13" s="4">
        <f t="shared" si="15"/>
        <v>0</v>
      </c>
      <c r="AQ13" s="4">
        <f t="shared" si="16"/>
        <v>0</v>
      </c>
      <c r="AR13" s="4">
        <f t="shared" si="17"/>
        <v>0</v>
      </c>
      <c r="AS13" s="4">
        <f t="shared" si="18"/>
        <v>0</v>
      </c>
      <c r="AT13" s="4">
        <f t="shared" si="19"/>
        <v>0</v>
      </c>
      <c r="AU13" s="4">
        <f t="shared" si="20"/>
        <v>0</v>
      </c>
      <c r="AV13" s="35">
        <v>10</v>
      </c>
      <c r="AW13" s="34" t="str">
        <f>VLOOKUP($AV13,Dummy!$A:$R,2,FALSE)</f>
        <v>França</v>
      </c>
      <c r="AX13" s="32">
        <f>VLOOKUP($AV13,Dummy!$A:$R,3,FALSE)</f>
        <v>0</v>
      </c>
      <c r="AY13" s="32">
        <f>VLOOKUP($AV13,Dummy!$A:$R,4,FALSE)</f>
        <v>0</v>
      </c>
      <c r="AZ13" s="32">
        <f>VLOOKUP($AV13,Dummy!$A:$R,5,FALSE)</f>
        <v>0</v>
      </c>
      <c r="BA13" s="32">
        <f>VLOOKUP($AV13,Dummy!$A:$R,6,FALSE)</f>
        <v>0</v>
      </c>
      <c r="BB13" s="32">
        <f>VLOOKUP($AV13,Dummy!$A:$R,7,FALSE)</f>
        <v>0</v>
      </c>
      <c r="BC13" s="32">
        <f>VLOOKUP($AV13,Dummy!$A:$R,8,FALSE)</f>
        <v>0</v>
      </c>
      <c r="BD13" s="32">
        <f>VLOOKUP($AV13,Dummy!$A:$R,9,FALSE)</f>
        <v>0</v>
      </c>
      <c r="BE13" s="32">
        <f>VLOOKUP($AV13,Dummy!$A:$R,10,FALSE)</f>
        <v>0</v>
      </c>
      <c r="BF13" s="32">
        <f>VLOOKUP($AV13,Dummy!$A:$R,11,FALSE)</f>
        <v>0</v>
      </c>
      <c r="BG13" s="32">
        <f>VLOOKUP($AV13,Dummy!$A:$R,12,FALSE)</f>
        <v>0</v>
      </c>
      <c r="BH13" s="32">
        <f>VLOOKUP($AV13,Dummy!$A:$R,13,FALSE)</f>
        <v>0</v>
      </c>
      <c r="BI13" s="32">
        <f>VLOOKUP($AV13,Dummy!$A:$R,14,FALSE)</f>
        <v>0</v>
      </c>
      <c r="BJ13" s="33" t="str">
        <f>VLOOKUP($AV13,Dummy!$A:$R,15,FALSE)</f>
        <v>MAX</v>
      </c>
      <c r="BK13" s="32">
        <f>VLOOKUP($AV13,Dummy!$A:$R,16,FALSE)</f>
        <v>0</v>
      </c>
      <c r="BL13" s="32">
        <f>VLOOKUP($AV13,Dummy!$A:$R,17,FALSE)</f>
        <v>0</v>
      </c>
      <c r="BM13" s="33" t="str">
        <f>VLOOKUP($AV13,Dummy!$A:$R,18,FALSE)</f>
        <v>MAX</v>
      </c>
    </row>
    <row r="14" spans="2:65" x14ac:dyDescent="0.25">
      <c r="B14" s="17">
        <v>45816</v>
      </c>
      <c r="C14" s="21">
        <v>0.45833333333333331</v>
      </c>
      <c r="D14" s="29" t="s">
        <v>57</v>
      </c>
      <c r="E14" s="37"/>
      <c r="F14" s="11" t="s">
        <v>7</v>
      </c>
      <c r="G14" s="38"/>
      <c r="H14" s="25" t="s">
        <v>30</v>
      </c>
      <c r="I14" s="37"/>
      <c r="J14" s="11" t="s">
        <v>7</v>
      </c>
      <c r="K14" s="38"/>
      <c r="L14" s="37"/>
      <c r="M14" s="11" t="s">
        <v>7</v>
      </c>
      <c r="N14" s="38"/>
      <c r="O14" s="37"/>
      <c r="P14" s="11" t="s">
        <v>7</v>
      </c>
      <c r="Q14" s="38"/>
      <c r="R14" s="37"/>
      <c r="S14" s="11" t="s">
        <v>7</v>
      </c>
      <c r="T14" s="38"/>
      <c r="U14" s="37"/>
      <c r="V14" s="11" t="s">
        <v>7</v>
      </c>
      <c r="W14" s="38"/>
      <c r="X14" s="12">
        <f t="shared" si="0"/>
        <v>0</v>
      </c>
      <c r="Y14" s="13" t="s">
        <v>7</v>
      </c>
      <c r="Z14" s="14">
        <f t="shared" si="1"/>
        <v>0</v>
      </c>
      <c r="AB14" s="4">
        <f t="shared" si="2"/>
        <v>0</v>
      </c>
      <c r="AC14" s="4">
        <f t="shared" si="3"/>
        <v>0</v>
      </c>
      <c r="AD14" s="4">
        <f t="shared" si="4"/>
        <v>0</v>
      </c>
      <c r="AE14" s="4">
        <f t="shared" si="5"/>
        <v>0</v>
      </c>
      <c r="AF14" s="4">
        <f t="shared" si="6"/>
        <v>0</v>
      </c>
      <c r="AG14" s="4">
        <f t="shared" si="7"/>
        <v>0</v>
      </c>
      <c r="AH14" s="4">
        <f t="shared" si="8"/>
        <v>0</v>
      </c>
      <c r="AI14" s="4">
        <f t="shared" si="9"/>
        <v>0</v>
      </c>
      <c r="AJ14" s="4">
        <f t="shared" si="10"/>
        <v>0</v>
      </c>
      <c r="AK14" s="4">
        <f t="shared" si="11"/>
        <v>0</v>
      </c>
      <c r="AM14" s="4">
        <f t="shared" si="12"/>
        <v>0</v>
      </c>
      <c r="AN14" s="4">
        <f t="shared" si="13"/>
        <v>0</v>
      </c>
      <c r="AO14" s="4">
        <f t="shared" si="14"/>
        <v>0</v>
      </c>
      <c r="AP14" s="4">
        <f t="shared" si="15"/>
        <v>0</v>
      </c>
      <c r="AQ14" s="4">
        <f t="shared" si="16"/>
        <v>0</v>
      </c>
      <c r="AR14" s="4">
        <f t="shared" si="17"/>
        <v>0</v>
      </c>
      <c r="AS14" s="4">
        <f t="shared" si="18"/>
        <v>0</v>
      </c>
      <c r="AT14" s="4">
        <f t="shared" si="19"/>
        <v>0</v>
      </c>
      <c r="AU14" s="4">
        <f t="shared" si="20"/>
        <v>0</v>
      </c>
      <c r="AV14" s="35">
        <v>11</v>
      </c>
      <c r="AW14" s="34" t="str">
        <f>VLOOKUP($AV14,Dummy!$A:$R,2,FALSE)</f>
        <v>Itália</v>
      </c>
      <c r="AX14" s="32">
        <f>VLOOKUP($AV14,Dummy!$A:$R,3,FALSE)</f>
        <v>0</v>
      </c>
      <c r="AY14" s="32">
        <f>VLOOKUP($AV14,Dummy!$A:$R,4,FALSE)</f>
        <v>0</v>
      </c>
      <c r="AZ14" s="32">
        <f>VLOOKUP($AV14,Dummy!$A:$R,5,FALSE)</f>
        <v>0</v>
      </c>
      <c r="BA14" s="32">
        <f>VLOOKUP($AV14,Dummy!$A:$R,6,FALSE)</f>
        <v>0</v>
      </c>
      <c r="BB14" s="32">
        <f>VLOOKUP($AV14,Dummy!$A:$R,7,FALSE)</f>
        <v>0</v>
      </c>
      <c r="BC14" s="32">
        <f>VLOOKUP($AV14,Dummy!$A:$R,8,FALSE)</f>
        <v>0</v>
      </c>
      <c r="BD14" s="32">
        <f>VLOOKUP($AV14,Dummy!$A:$R,9,FALSE)</f>
        <v>0</v>
      </c>
      <c r="BE14" s="32">
        <f>VLOOKUP($AV14,Dummy!$A:$R,10,FALSE)</f>
        <v>0</v>
      </c>
      <c r="BF14" s="32">
        <f>VLOOKUP($AV14,Dummy!$A:$R,11,FALSE)</f>
        <v>0</v>
      </c>
      <c r="BG14" s="32">
        <f>VLOOKUP($AV14,Dummy!$A:$R,12,FALSE)</f>
        <v>0</v>
      </c>
      <c r="BH14" s="32">
        <f>VLOOKUP($AV14,Dummy!$A:$R,13,FALSE)</f>
        <v>0</v>
      </c>
      <c r="BI14" s="32">
        <f>VLOOKUP($AV14,Dummy!$A:$R,14,FALSE)</f>
        <v>0</v>
      </c>
      <c r="BJ14" s="33" t="str">
        <f>VLOOKUP($AV14,Dummy!$A:$R,15,FALSE)</f>
        <v>MAX</v>
      </c>
      <c r="BK14" s="32">
        <f>VLOOKUP($AV14,Dummy!$A:$R,16,FALSE)</f>
        <v>0</v>
      </c>
      <c r="BL14" s="32">
        <f>VLOOKUP($AV14,Dummy!$A:$R,17,FALSE)</f>
        <v>0</v>
      </c>
      <c r="BM14" s="33" t="str">
        <f>VLOOKUP($AV14,Dummy!$A:$R,18,FALSE)</f>
        <v>MAX</v>
      </c>
    </row>
    <row r="15" spans="2:65" x14ac:dyDescent="0.25">
      <c r="B15" s="17">
        <v>45816</v>
      </c>
      <c r="C15" s="21">
        <v>0.60416666666666663</v>
      </c>
      <c r="D15" s="29" t="s">
        <v>51</v>
      </c>
      <c r="E15" s="37"/>
      <c r="F15" s="11" t="s">
        <v>7</v>
      </c>
      <c r="G15" s="38"/>
      <c r="H15" s="25" t="s">
        <v>38</v>
      </c>
      <c r="I15" s="37"/>
      <c r="J15" s="11" t="s">
        <v>7</v>
      </c>
      <c r="K15" s="38"/>
      <c r="L15" s="37"/>
      <c r="M15" s="11" t="s">
        <v>7</v>
      </c>
      <c r="N15" s="38"/>
      <c r="O15" s="37"/>
      <c r="P15" s="11" t="s">
        <v>7</v>
      </c>
      <c r="Q15" s="38"/>
      <c r="R15" s="37"/>
      <c r="S15" s="11" t="s">
        <v>7</v>
      </c>
      <c r="T15" s="38"/>
      <c r="U15" s="37"/>
      <c r="V15" s="11" t="s">
        <v>7</v>
      </c>
      <c r="W15" s="38"/>
      <c r="X15" s="12">
        <f t="shared" si="0"/>
        <v>0</v>
      </c>
      <c r="Y15" s="13" t="s">
        <v>7</v>
      </c>
      <c r="Z15" s="14">
        <f t="shared" si="1"/>
        <v>0</v>
      </c>
      <c r="AB15" s="4">
        <f t="shared" si="2"/>
        <v>0</v>
      </c>
      <c r="AC15" s="4">
        <f t="shared" si="3"/>
        <v>0</v>
      </c>
      <c r="AD15" s="4">
        <f t="shared" si="4"/>
        <v>0</v>
      </c>
      <c r="AE15" s="4">
        <f t="shared" si="5"/>
        <v>0</v>
      </c>
      <c r="AF15" s="4">
        <f t="shared" si="6"/>
        <v>0</v>
      </c>
      <c r="AG15" s="4">
        <f t="shared" si="7"/>
        <v>0</v>
      </c>
      <c r="AH15" s="4">
        <f t="shared" si="8"/>
        <v>0</v>
      </c>
      <c r="AI15" s="4">
        <f t="shared" si="9"/>
        <v>0</v>
      </c>
      <c r="AJ15" s="4">
        <f t="shared" si="10"/>
        <v>0</v>
      </c>
      <c r="AK15" s="4">
        <f t="shared" si="11"/>
        <v>0</v>
      </c>
      <c r="AM15" s="4">
        <f t="shared" si="12"/>
        <v>0</v>
      </c>
      <c r="AN15" s="4">
        <f t="shared" si="13"/>
        <v>0</v>
      </c>
      <c r="AO15" s="4">
        <f t="shared" si="14"/>
        <v>0</v>
      </c>
      <c r="AP15" s="4">
        <f t="shared" si="15"/>
        <v>0</v>
      </c>
      <c r="AQ15" s="4">
        <f t="shared" si="16"/>
        <v>0</v>
      </c>
      <c r="AR15" s="4">
        <f t="shared" si="17"/>
        <v>0</v>
      </c>
      <c r="AS15" s="4">
        <f t="shared" si="18"/>
        <v>0</v>
      </c>
      <c r="AT15" s="4">
        <f t="shared" si="19"/>
        <v>0</v>
      </c>
      <c r="AU15" s="4">
        <f t="shared" si="20"/>
        <v>0</v>
      </c>
      <c r="AV15" s="35">
        <v>12</v>
      </c>
      <c r="AW15" s="34" t="str">
        <f>VLOOKUP($AV15,Dummy!$A:$R,2,FALSE)</f>
        <v>Japão</v>
      </c>
      <c r="AX15" s="32">
        <f>VLOOKUP($AV15,Dummy!$A:$R,3,FALSE)</f>
        <v>0</v>
      </c>
      <c r="AY15" s="32">
        <f>VLOOKUP($AV15,Dummy!$A:$R,4,FALSE)</f>
        <v>0</v>
      </c>
      <c r="AZ15" s="32">
        <f>VLOOKUP($AV15,Dummy!$A:$R,5,FALSE)</f>
        <v>0</v>
      </c>
      <c r="BA15" s="32">
        <f>VLOOKUP($AV15,Dummy!$A:$R,6,FALSE)</f>
        <v>0</v>
      </c>
      <c r="BB15" s="32">
        <f>VLOOKUP($AV15,Dummy!$A:$R,7,FALSE)</f>
        <v>0</v>
      </c>
      <c r="BC15" s="32">
        <f>VLOOKUP($AV15,Dummy!$A:$R,8,FALSE)</f>
        <v>0</v>
      </c>
      <c r="BD15" s="32">
        <f>VLOOKUP($AV15,Dummy!$A:$R,9,FALSE)</f>
        <v>0</v>
      </c>
      <c r="BE15" s="32">
        <f>VLOOKUP($AV15,Dummy!$A:$R,10,FALSE)</f>
        <v>0</v>
      </c>
      <c r="BF15" s="32">
        <f>VLOOKUP($AV15,Dummy!$A:$R,11,FALSE)</f>
        <v>0</v>
      </c>
      <c r="BG15" s="32">
        <f>VLOOKUP($AV15,Dummy!$A:$R,12,FALSE)</f>
        <v>0</v>
      </c>
      <c r="BH15" s="32">
        <f>VLOOKUP($AV15,Dummy!$A:$R,13,FALSE)</f>
        <v>0</v>
      </c>
      <c r="BI15" s="32">
        <f>VLOOKUP($AV15,Dummy!$A:$R,14,FALSE)</f>
        <v>0</v>
      </c>
      <c r="BJ15" s="33" t="str">
        <f>VLOOKUP($AV15,Dummy!$A:$R,15,FALSE)</f>
        <v>MAX</v>
      </c>
      <c r="BK15" s="32">
        <f>VLOOKUP($AV15,Dummy!$A:$R,16,FALSE)</f>
        <v>0</v>
      </c>
      <c r="BL15" s="32">
        <f>VLOOKUP($AV15,Dummy!$A:$R,17,FALSE)</f>
        <v>0</v>
      </c>
      <c r="BM15" s="33" t="str">
        <f>VLOOKUP($AV15,Dummy!$A:$R,18,FALSE)</f>
        <v>MAX</v>
      </c>
    </row>
    <row r="16" spans="2:65" x14ac:dyDescent="0.25">
      <c r="B16" s="17">
        <v>45816</v>
      </c>
      <c r="C16" s="21">
        <v>0.75</v>
      </c>
      <c r="D16" s="29" t="s">
        <v>52</v>
      </c>
      <c r="E16" s="37"/>
      <c r="F16" s="11" t="s">
        <v>7</v>
      </c>
      <c r="G16" s="38"/>
      <c r="H16" s="25" t="s">
        <v>58</v>
      </c>
      <c r="I16" s="37"/>
      <c r="J16" s="11" t="s">
        <v>7</v>
      </c>
      <c r="K16" s="38"/>
      <c r="L16" s="37"/>
      <c r="M16" s="11" t="s">
        <v>7</v>
      </c>
      <c r="N16" s="38"/>
      <c r="O16" s="37"/>
      <c r="P16" s="11" t="s">
        <v>7</v>
      </c>
      <c r="Q16" s="38"/>
      <c r="R16" s="37"/>
      <c r="S16" s="11" t="s">
        <v>7</v>
      </c>
      <c r="T16" s="38"/>
      <c r="U16" s="37"/>
      <c r="V16" s="11" t="s">
        <v>7</v>
      </c>
      <c r="W16" s="38"/>
      <c r="X16" s="12">
        <f t="shared" si="0"/>
        <v>0</v>
      </c>
      <c r="Y16" s="13" t="s">
        <v>7</v>
      </c>
      <c r="Z16" s="14">
        <f t="shared" si="1"/>
        <v>0</v>
      </c>
      <c r="AB16" s="4">
        <f t="shared" si="2"/>
        <v>0</v>
      </c>
      <c r="AC16" s="4">
        <f t="shared" si="3"/>
        <v>0</v>
      </c>
      <c r="AD16" s="4">
        <f t="shared" si="4"/>
        <v>0</v>
      </c>
      <c r="AE16" s="4">
        <f t="shared" si="5"/>
        <v>0</v>
      </c>
      <c r="AF16" s="4">
        <f t="shared" si="6"/>
        <v>0</v>
      </c>
      <c r="AG16" s="4">
        <f t="shared" si="7"/>
        <v>0</v>
      </c>
      <c r="AH16" s="4">
        <f t="shared" si="8"/>
        <v>0</v>
      </c>
      <c r="AI16" s="4">
        <f t="shared" si="9"/>
        <v>0</v>
      </c>
      <c r="AJ16" s="4">
        <f t="shared" si="10"/>
        <v>0</v>
      </c>
      <c r="AK16" s="4">
        <f t="shared" si="11"/>
        <v>0</v>
      </c>
      <c r="AM16" s="4">
        <f t="shared" si="12"/>
        <v>0</v>
      </c>
      <c r="AN16" s="4">
        <f t="shared" si="13"/>
        <v>0</v>
      </c>
      <c r="AO16" s="4">
        <f t="shared" si="14"/>
        <v>0</v>
      </c>
      <c r="AP16" s="4">
        <f t="shared" si="15"/>
        <v>0</v>
      </c>
      <c r="AQ16" s="4">
        <f t="shared" si="16"/>
        <v>0</v>
      </c>
      <c r="AR16" s="4">
        <f t="shared" si="17"/>
        <v>0</v>
      </c>
      <c r="AS16" s="4">
        <f t="shared" si="18"/>
        <v>0</v>
      </c>
      <c r="AT16" s="4">
        <f t="shared" si="19"/>
        <v>0</v>
      </c>
      <c r="AU16" s="4">
        <f t="shared" si="20"/>
        <v>0</v>
      </c>
      <c r="AV16" s="35">
        <v>13</v>
      </c>
      <c r="AW16" s="34" t="str">
        <f>VLOOKUP($AV16,Dummy!$A:$R,2,FALSE)</f>
        <v>Holanda</v>
      </c>
      <c r="AX16" s="32">
        <f>VLOOKUP($AV16,Dummy!$A:$R,3,FALSE)</f>
        <v>0</v>
      </c>
      <c r="AY16" s="32">
        <f>VLOOKUP($AV16,Dummy!$A:$R,4,FALSE)</f>
        <v>0</v>
      </c>
      <c r="AZ16" s="32">
        <f>VLOOKUP($AV16,Dummy!$A:$R,5,FALSE)</f>
        <v>0</v>
      </c>
      <c r="BA16" s="32">
        <f>VLOOKUP($AV16,Dummy!$A:$R,6,FALSE)</f>
        <v>0</v>
      </c>
      <c r="BB16" s="32">
        <f>VLOOKUP($AV16,Dummy!$A:$R,7,FALSE)</f>
        <v>0</v>
      </c>
      <c r="BC16" s="32">
        <f>VLOOKUP($AV16,Dummy!$A:$R,8,FALSE)</f>
        <v>0</v>
      </c>
      <c r="BD16" s="32">
        <f>VLOOKUP($AV16,Dummy!$A:$R,9,FALSE)</f>
        <v>0</v>
      </c>
      <c r="BE16" s="32">
        <f>VLOOKUP($AV16,Dummy!$A:$R,10,FALSE)</f>
        <v>0</v>
      </c>
      <c r="BF16" s="32">
        <f>VLOOKUP($AV16,Dummy!$A:$R,11,FALSE)</f>
        <v>0</v>
      </c>
      <c r="BG16" s="32">
        <f>VLOOKUP($AV16,Dummy!$A:$R,12,FALSE)</f>
        <v>0</v>
      </c>
      <c r="BH16" s="32">
        <f>VLOOKUP($AV16,Dummy!$A:$R,13,FALSE)</f>
        <v>0</v>
      </c>
      <c r="BI16" s="32">
        <f>VLOOKUP($AV16,Dummy!$A:$R,14,FALSE)</f>
        <v>0</v>
      </c>
      <c r="BJ16" s="33" t="str">
        <f>VLOOKUP($AV16,Dummy!$A:$R,15,FALSE)</f>
        <v>MAX</v>
      </c>
      <c r="BK16" s="32">
        <f>VLOOKUP($AV16,Dummy!$A:$R,16,FALSE)</f>
        <v>0</v>
      </c>
      <c r="BL16" s="32">
        <f>VLOOKUP($AV16,Dummy!$A:$R,17,FALSE)</f>
        <v>0</v>
      </c>
      <c r="BM16" s="33" t="str">
        <f>VLOOKUP($AV16,Dummy!$A:$R,18,FALSE)</f>
        <v>MAX</v>
      </c>
    </row>
    <row r="17" spans="2:65" ht="14.25" x14ac:dyDescent="0.25">
      <c r="B17" s="66" t="s">
        <v>12</v>
      </c>
      <c r="C17" s="66"/>
      <c r="D17" s="66"/>
      <c r="E17" s="66"/>
      <c r="F17" s="69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V17" s="35">
        <v>14</v>
      </c>
      <c r="AW17" s="34" t="str">
        <f>VLOOKUP($AV17,Dummy!$A:$R,2,FALSE)</f>
        <v>Polônia</v>
      </c>
      <c r="AX17" s="32">
        <f>VLOOKUP($AV17,Dummy!$A:$R,3,FALSE)</f>
        <v>0</v>
      </c>
      <c r="AY17" s="32">
        <f>VLOOKUP($AV17,Dummy!$A:$R,4,FALSE)</f>
        <v>0</v>
      </c>
      <c r="AZ17" s="32">
        <f>VLOOKUP($AV17,Dummy!$A:$R,5,FALSE)</f>
        <v>0</v>
      </c>
      <c r="BA17" s="32">
        <f>VLOOKUP($AV17,Dummy!$A:$R,6,FALSE)</f>
        <v>0</v>
      </c>
      <c r="BB17" s="32">
        <f>VLOOKUP($AV17,Dummy!$A:$R,7,FALSE)</f>
        <v>0</v>
      </c>
      <c r="BC17" s="32">
        <f>VLOOKUP($AV17,Dummy!$A:$R,8,FALSE)</f>
        <v>0</v>
      </c>
      <c r="BD17" s="32">
        <f>VLOOKUP($AV17,Dummy!$A:$R,9,FALSE)</f>
        <v>0</v>
      </c>
      <c r="BE17" s="32">
        <f>VLOOKUP($AV17,Dummy!$A:$R,10,FALSE)</f>
        <v>0</v>
      </c>
      <c r="BF17" s="32">
        <f>VLOOKUP($AV17,Dummy!$A:$R,11,FALSE)</f>
        <v>0</v>
      </c>
      <c r="BG17" s="32">
        <f>VLOOKUP($AV17,Dummy!$A:$R,12,FALSE)</f>
        <v>0</v>
      </c>
      <c r="BH17" s="32">
        <f>VLOOKUP($AV17,Dummy!$A:$R,13,FALSE)</f>
        <v>0</v>
      </c>
      <c r="BI17" s="32">
        <f>VLOOKUP($AV17,Dummy!$A:$R,14,FALSE)</f>
        <v>0</v>
      </c>
      <c r="BJ17" s="33" t="str">
        <f>VLOOKUP($AV17,Dummy!$A:$R,15,FALSE)</f>
        <v>MAX</v>
      </c>
      <c r="BK17" s="32">
        <f>VLOOKUP($AV17,Dummy!$A:$R,16,FALSE)</f>
        <v>0</v>
      </c>
      <c r="BL17" s="32">
        <f>VLOOKUP($AV17,Dummy!$A:$R,17,FALSE)</f>
        <v>0</v>
      </c>
      <c r="BM17" s="33" t="str">
        <f>VLOOKUP($AV17,Dummy!$A:$R,18,FALSE)</f>
        <v>MAX</v>
      </c>
    </row>
    <row r="18" spans="2:65" x14ac:dyDescent="0.25">
      <c r="B18" s="16" t="s">
        <v>2</v>
      </c>
      <c r="C18" s="20" t="s">
        <v>3</v>
      </c>
      <c r="D18" s="28"/>
      <c r="E18" s="68" t="s">
        <v>4</v>
      </c>
      <c r="F18" s="68"/>
      <c r="G18" s="68"/>
      <c r="H18" s="24"/>
      <c r="I18" s="68" t="s">
        <v>5</v>
      </c>
      <c r="J18" s="68"/>
      <c r="K18" s="68"/>
      <c r="L18" s="68" t="s">
        <v>6</v>
      </c>
      <c r="M18" s="68"/>
      <c r="N18" s="68"/>
      <c r="O18" s="68" t="s">
        <v>8</v>
      </c>
      <c r="P18" s="68"/>
      <c r="Q18" s="68"/>
      <c r="R18" s="68" t="s">
        <v>9</v>
      </c>
      <c r="S18" s="68"/>
      <c r="T18" s="68"/>
      <c r="U18" s="68" t="s">
        <v>10</v>
      </c>
      <c r="V18" s="68"/>
      <c r="W18" s="68"/>
      <c r="X18" s="68" t="s">
        <v>11</v>
      </c>
      <c r="Y18" s="68"/>
      <c r="Z18" s="68"/>
      <c r="AB18" s="4" t="s">
        <v>39</v>
      </c>
      <c r="AC18" s="4" t="s">
        <v>24</v>
      </c>
      <c r="AD18" s="4" t="s">
        <v>21</v>
      </c>
      <c r="AE18" s="4" t="s">
        <v>19</v>
      </c>
      <c r="AF18" s="4" t="s">
        <v>20</v>
      </c>
      <c r="AG18" s="4" t="s">
        <v>16</v>
      </c>
      <c r="AH18" s="8" t="s">
        <v>18</v>
      </c>
      <c r="AI18" s="8" t="s">
        <v>17</v>
      </c>
      <c r="AJ18" s="4" t="s">
        <v>22</v>
      </c>
      <c r="AK18" s="4" t="s">
        <v>23</v>
      </c>
      <c r="AM18" s="4" t="s">
        <v>25</v>
      </c>
      <c r="AN18" s="4" t="s">
        <v>26</v>
      </c>
      <c r="AO18" s="4" t="s">
        <v>19</v>
      </c>
      <c r="AP18" s="4" t="s">
        <v>20</v>
      </c>
      <c r="AQ18" s="8" t="s">
        <v>32</v>
      </c>
      <c r="AR18" s="8" t="s">
        <v>33</v>
      </c>
      <c r="AS18" s="8" t="s">
        <v>34</v>
      </c>
      <c r="AT18" s="4" t="s">
        <v>22</v>
      </c>
      <c r="AU18" s="4" t="s">
        <v>23</v>
      </c>
      <c r="AV18" s="35">
        <v>15</v>
      </c>
      <c r="AW18" s="34" t="str">
        <f>VLOOKUP($AV18,Dummy!$A:$R,2,FALSE)</f>
        <v>República Dominicana</v>
      </c>
      <c r="AX18" s="32">
        <f>VLOOKUP($AV18,Dummy!$A:$R,3,FALSE)</f>
        <v>0</v>
      </c>
      <c r="AY18" s="32">
        <f>VLOOKUP($AV18,Dummy!$A:$R,4,FALSE)</f>
        <v>0</v>
      </c>
      <c r="AZ18" s="32">
        <f>VLOOKUP($AV18,Dummy!$A:$R,5,FALSE)</f>
        <v>0</v>
      </c>
      <c r="BA18" s="32">
        <f>VLOOKUP($AV18,Dummy!$A:$R,6,FALSE)</f>
        <v>0</v>
      </c>
      <c r="BB18" s="32">
        <f>VLOOKUP($AV18,Dummy!$A:$R,7,FALSE)</f>
        <v>0</v>
      </c>
      <c r="BC18" s="32">
        <f>VLOOKUP($AV18,Dummy!$A:$R,8,FALSE)</f>
        <v>0</v>
      </c>
      <c r="BD18" s="32">
        <f>VLOOKUP($AV18,Dummy!$A:$R,9,FALSE)</f>
        <v>0</v>
      </c>
      <c r="BE18" s="32">
        <f>VLOOKUP($AV18,Dummy!$A:$R,10,FALSE)</f>
        <v>0</v>
      </c>
      <c r="BF18" s="32">
        <f>VLOOKUP($AV18,Dummy!$A:$R,11,FALSE)</f>
        <v>0</v>
      </c>
      <c r="BG18" s="32">
        <f>VLOOKUP($AV18,Dummy!$A:$R,12,FALSE)</f>
        <v>0</v>
      </c>
      <c r="BH18" s="32">
        <f>VLOOKUP($AV18,Dummy!$A:$R,13,FALSE)</f>
        <v>0</v>
      </c>
      <c r="BI18" s="32">
        <f>VLOOKUP($AV18,Dummy!$A:$R,14,FALSE)</f>
        <v>0</v>
      </c>
      <c r="BJ18" s="33" t="str">
        <f>VLOOKUP($AV18,Dummy!$A:$R,15,FALSE)</f>
        <v>MAX</v>
      </c>
      <c r="BK18" s="32">
        <f>VLOOKUP($AV18,Dummy!$A:$R,16,FALSE)</f>
        <v>0</v>
      </c>
      <c r="BL18" s="32">
        <f>VLOOKUP($AV18,Dummy!$A:$R,17,FALSE)</f>
        <v>0</v>
      </c>
      <c r="BM18" s="33" t="str">
        <f>VLOOKUP($AV18,Dummy!$A:$R,18,FALSE)</f>
        <v>MAX</v>
      </c>
    </row>
    <row r="19" spans="2:65" x14ac:dyDescent="0.25">
      <c r="B19" s="18">
        <v>45812</v>
      </c>
      <c r="C19" s="22">
        <v>0.58333333333333337</v>
      </c>
      <c r="D19" s="30" t="s">
        <v>56</v>
      </c>
      <c r="E19" s="37"/>
      <c r="F19" s="11" t="s">
        <v>7</v>
      </c>
      <c r="G19" s="38"/>
      <c r="H19" s="26" t="s">
        <v>40</v>
      </c>
      <c r="I19" s="37"/>
      <c r="J19" s="11" t="s">
        <v>7</v>
      </c>
      <c r="K19" s="38"/>
      <c r="L19" s="37"/>
      <c r="M19" s="11" t="s">
        <v>7</v>
      </c>
      <c r="N19" s="38"/>
      <c r="O19" s="37"/>
      <c r="P19" s="11" t="s">
        <v>7</v>
      </c>
      <c r="Q19" s="38"/>
      <c r="R19" s="37"/>
      <c r="S19" s="11" t="s">
        <v>7</v>
      </c>
      <c r="T19" s="38"/>
      <c r="U19" s="37"/>
      <c r="V19" s="11" t="s">
        <v>7</v>
      </c>
      <c r="W19" s="38"/>
      <c r="X19" s="9">
        <f>SUM(I19,L19,O19,R19,U19)</f>
        <v>0</v>
      </c>
      <c r="Y19" s="11" t="s">
        <v>7</v>
      </c>
      <c r="Z19" s="10">
        <f>SUM(K19,N19,Q19,T19,W19)</f>
        <v>0</v>
      </c>
      <c r="AB19" s="4">
        <f t="shared" ref="AB19:AB44" si="21">AE19+AF19</f>
        <v>0</v>
      </c>
      <c r="AC19" s="4">
        <f t="shared" ref="AC19:AC30" si="22">IF(OR(E19="",G19=""),0,IF(E19&gt;G19,D19,H19))</f>
        <v>0</v>
      </c>
      <c r="AD19" s="4">
        <f t="shared" ref="AD19:AD30" si="23">IF(OR(E19="",G19=""),0,1)</f>
        <v>0</v>
      </c>
      <c r="AE19" s="4">
        <f t="shared" ref="AE19:AE30" si="24">IF(OR(E19="",G19=""),0,IF(E19&gt;G19,E19,G19))</f>
        <v>0</v>
      </c>
      <c r="AF19" s="4">
        <f t="shared" ref="AF19:AF30" si="25">IF(OR(E19="",G19=""),0,IF(E19&gt;G19,G19,E19))</f>
        <v>0</v>
      </c>
      <c r="AG19" s="4">
        <f t="shared" ref="AG19:AG30" si="26">IF(AND(AE19=3,AF19=0),1,0)</f>
        <v>0</v>
      </c>
      <c r="AH19" s="4">
        <f t="shared" ref="AH19:AH30" si="27">IF(AND(AE19=3,AF19=1),1,0)</f>
        <v>0</v>
      </c>
      <c r="AI19" s="4">
        <f t="shared" ref="AI19:AI30" si="28">IF(AND(AE19=3,AF19=2),1,0)</f>
        <v>0</v>
      </c>
      <c r="AJ19" s="4">
        <f t="shared" ref="AJ19:AJ30" si="29">IF(E19&gt;G19,SUM(I19,L19,O19,R19,U19,),SUM(K19,N19,Q19,T19,W19))</f>
        <v>0</v>
      </c>
      <c r="AK19" s="4">
        <f t="shared" ref="AK19:AK30" si="30">IF(E19&gt;G19,SUM(K19,N19,Q19,T19,W19),SUM(I19,L19,O19,R19,U19))</f>
        <v>0</v>
      </c>
      <c r="AM19" s="4">
        <f t="shared" ref="AM19:AM30" si="31">IF(OR(E19="",G19=""),0,IF(E19&lt;G19,D19,H19))</f>
        <v>0</v>
      </c>
      <c r="AN19" s="4">
        <f t="shared" ref="AN19:AN30" si="32">IF(OR(E19="",G19=""),0,1)</f>
        <v>0</v>
      </c>
      <c r="AO19" s="4">
        <f t="shared" ref="AO19:AO30" si="33">IF(OR(E19="",G19=""),0,IF(E19&lt;G19,E19,G19))</f>
        <v>0</v>
      </c>
      <c r="AP19" s="4">
        <f t="shared" ref="AP19:AP30" si="34">IF(OR(E19="",G19=""),0,IF(E19&lt;G19,G19,E19))</f>
        <v>0</v>
      </c>
      <c r="AQ19" s="4">
        <f t="shared" ref="AQ19:AQ30" si="35">IF(AND(AO19=2,AP19=3),1,0)</f>
        <v>0</v>
      </c>
      <c r="AR19" s="4">
        <f t="shared" ref="AR19:AR30" si="36">IF(AND(AO19=1,AP19=3),1,0)</f>
        <v>0</v>
      </c>
      <c r="AS19" s="4">
        <f t="shared" ref="AS19:AS30" si="37">IF(AND(AO19=0,AP19=3),1,0)</f>
        <v>0</v>
      </c>
      <c r="AT19" s="4">
        <f t="shared" ref="AT19:AT30" si="38">IF(E19&lt;G19,SUM(I19,L19,O19,R19,U19,),SUM(K19,N19,Q19,T19,W19))</f>
        <v>0</v>
      </c>
      <c r="AU19" s="4">
        <f t="shared" ref="AU19:AU30" si="39">IF(E19&lt;G19,SUM(K19,N19,Q19,T19,W19),SUM(I19,L19,O19,R19,U19))</f>
        <v>0</v>
      </c>
      <c r="AV19" s="35">
        <v>16</v>
      </c>
      <c r="AW19" s="34" t="str">
        <f>VLOOKUP($AV19,Dummy!$A:$R,2,FALSE)</f>
        <v>Sérvia</v>
      </c>
      <c r="AX19" s="32">
        <f>VLOOKUP($AV19,Dummy!$A:$R,3,FALSE)</f>
        <v>0</v>
      </c>
      <c r="AY19" s="32">
        <f>VLOOKUP($AV19,Dummy!$A:$R,4,FALSE)</f>
        <v>0</v>
      </c>
      <c r="AZ19" s="32">
        <f>VLOOKUP($AV19,Dummy!$A:$R,5,FALSE)</f>
        <v>0</v>
      </c>
      <c r="BA19" s="32">
        <f>VLOOKUP($AV19,Dummy!$A:$R,6,FALSE)</f>
        <v>0</v>
      </c>
      <c r="BB19" s="32">
        <f>VLOOKUP($AV19,Dummy!$A:$R,7,FALSE)</f>
        <v>0</v>
      </c>
      <c r="BC19" s="32">
        <f>VLOOKUP($AV19,Dummy!$A:$R,8,FALSE)</f>
        <v>0</v>
      </c>
      <c r="BD19" s="32">
        <f>VLOOKUP($AV19,Dummy!$A:$R,9,FALSE)</f>
        <v>0</v>
      </c>
      <c r="BE19" s="32">
        <f>VLOOKUP($AV19,Dummy!$A:$R,10,FALSE)</f>
        <v>0</v>
      </c>
      <c r="BF19" s="32">
        <f>VLOOKUP($AV19,Dummy!$A:$R,11,FALSE)</f>
        <v>0</v>
      </c>
      <c r="BG19" s="32">
        <f>VLOOKUP($AV19,Dummy!$A:$R,12,FALSE)</f>
        <v>0</v>
      </c>
      <c r="BH19" s="32">
        <f>VLOOKUP($AV19,Dummy!$A:$R,13,FALSE)</f>
        <v>0</v>
      </c>
      <c r="BI19" s="32">
        <f>VLOOKUP($AV19,Dummy!$A:$R,14,FALSE)</f>
        <v>0</v>
      </c>
      <c r="BJ19" s="33" t="str">
        <f>VLOOKUP($AV19,Dummy!$A:$R,15,FALSE)</f>
        <v>MAX</v>
      </c>
      <c r="BK19" s="32">
        <f>VLOOKUP($AV19,Dummy!$A:$R,16,FALSE)</f>
        <v>0</v>
      </c>
      <c r="BL19" s="32">
        <f>VLOOKUP($AV19,Dummy!$A:$R,17,FALSE)</f>
        <v>0</v>
      </c>
      <c r="BM19" s="33" t="str">
        <f>VLOOKUP($AV19,Dummy!$A:$R,18,FALSE)</f>
        <v>MAX</v>
      </c>
    </row>
    <row r="20" spans="2:65" x14ac:dyDescent="0.25">
      <c r="B20" s="18">
        <v>45812</v>
      </c>
      <c r="C20" s="22">
        <v>0.72916666666666663</v>
      </c>
      <c r="D20" s="30" t="s">
        <v>60</v>
      </c>
      <c r="E20" s="42"/>
      <c r="F20" s="11" t="s">
        <v>7</v>
      </c>
      <c r="G20" s="41"/>
      <c r="H20" s="26" t="s">
        <v>50</v>
      </c>
      <c r="I20" s="37"/>
      <c r="J20" s="11" t="s">
        <v>7</v>
      </c>
      <c r="K20" s="38"/>
      <c r="L20" s="37"/>
      <c r="M20" s="11" t="s">
        <v>7</v>
      </c>
      <c r="N20" s="38"/>
      <c r="O20" s="37"/>
      <c r="P20" s="11" t="s">
        <v>7</v>
      </c>
      <c r="Q20" s="38"/>
      <c r="R20" s="37"/>
      <c r="S20" s="11" t="s">
        <v>7</v>
      </c>
      <c r="T20" s="38"/>
      <c r="U20" s="37"/>
      <c r="V20" s="11" t="s">
        <v>7</v>
      </c>
      <c r="W20" s="38"/>
      <c r="X20" s="9">
        <f t="shared" ref="X20:X30" si="40">SUM(I20,L20,O20,R20,U20)</f>
        <v>0</v>
      </c>
      <c r="Y20" s="11" t="s">
        <v>7</v>
      </c>
      <c r="Z20" s="10">
        <f t="shared" ref="Z20:Z30" si="41">SUM(K20,N20,Q20,T20,W20)</f>
        <v>0</v>
      </c>
      <c r="AB20" s="4">
        <f t="shared" si="21"/>
        <v>0</v>
      </c>
      <c r="AC20" s="4">
        <f t="shared" si="22"/>
        <v>0</v>
      </c>
      <c r="AD20" s="4">
        <f t="shared" si="23"/>
        <v>0</v>
      </c>
      <c r="AE20" s="4">
        <f t="shared" si="24"/>
        <v>0</v>
      </c>
      <c r="AF20" s="4">
        <f t="shared" si="25"/>
        <v>0</v>
      </c>
      <c r="AG20" s="4">
        <f t="shared" si="26"/>
        <v>0</v>
      </c>
      <c r="AH20" s="4">
        <f t="shared" si="27"/>
        <v>0</v>
      </c>
      <c r="AI20" s="4">
        <f t="shared" si="28"/>
        <v>0</v>
      </c>
      <c r="AJ20" s="4">
        <f t="shared" si="29"/>
        <v>0</v>
      </c>
      <c r="AK20" s="4">
        <f t="shared" si="30"/>
        <v>0</v>
      </c>
      <c r="AM20" s="4">
        <f t="shared" si="31"/>
        <v>0</v>
      </c>
      <c r="AN20" s="4">
        <f t="shared" si="32"/>
        <v>0</v>
      </c>
      <c r="AO20" s="4">
        <f t="shared" si="33"/>
        <v>0</v>
      </c>
      <c r="AP20" s="4">
        <f t="shared" si="34"/>
        <v>0</v>
      </c>
      <c r="AQ20" s="4">
        <f t="shared" si="35"/>
        <v>0</v>
      </c>
      <c r="AR20" s="4">
        <f t="shared" si="36"/>
        <v>0</v>
      </c>
      <c r="AS20" s="4">
        <f t="shared" si="37"/>
        <v>0</v>
      </c>
      <c r="AT20" s="4">
        <f t="shared" si="38"/>
        <v>0</v>
      </c>
      <c r="AU20" s="4">
        <f t="shared" si="39"/>
        <v>0</v>
      </c>
      <c r="AV20" s="35">
        <v>17</v>
      </c>
      <c r="AW20" s="34" t="str">
        <f>VLOOKUP($AV20,Dummy!$A:$R,2,FALSE)</f>
        <v>Tailândia</v>
      </c>
      <c r="AX20" s="32">
        <f>VLOOKUP($AV20,Dummy!$A:$R,3,FALSE)</f>
        <v>0</v>
      </c>
      <c r="AY20" s="32">
        <f>VLOOKUP($AV20,Dummy!$A:$R,4,FALSE)</f>
        <v>0</v>
      </c>
      <c r="AZ20" s="32">
        <f>VLOOKUP($AV20,Dummy!$A:$R,5,FALSE)</f>
        <v>0</v>
      </c>
      <c r="BA20" s="32">
        <f>VLOOKUP($AV20,Dummy!$A:$R,6,FALSE)</f>
        <v>0</v>
      </c>
      <c r="BB20" s="32">
        <f>VLOOKUP($AV20,Dummy!$A:$R,7,FALSE)</f>
        <v>0</v>
      </c>
      <c r="BC20" s="32">
        <f>VLOOKUP($AV20,Dummy!$A:$R,8,FALSE)</f>
        <v>0</v>
      </c>
      <c r="BD20" s="32">
        <f>VLOOKUP($AV20,Dummy!$A:$R,9,FALSE)</f>
        <v>0</v>
      </c>
      <c r="BE20" s="32">
        <f>VLOOKUP($AV20,Dummy!$A:$R,10,FALSE)</f>
        <v>0</v>
      </c>
      <c r="BF20" s="32">
        <f>VLOOKUP($AV20,Dummy!$A:$R,11,FALSE)</f>
        <v>0</v>
      </c>
      <c r="BG20" s="32">
        <f>VLOOKUP($AV20,Dummy!$A:$R,12,FALSE)</f>
        <v>0</v>
      </c>
      <c r="BH20" s="32">
        <f>VLOOKUP($AV20,Dummy!$A:$R,13,FALSE)</f>
        <v>0</v>
      </c>
      <c r="BI20" s="32">
        <f>VLOOKUP($AV20,Dummy!$A:$R,14,FALSE)</f>
        <v>0</v>
      </c>
      <c r="BJ20" s="33" t="str">
        <f>VLOOKUP($AV20,Dummy!$A:$R,15,FALSE)</f>
        <v>MAX</v>
      </c>
      <c r="BK20" s="32">
        <f>VLOOKUP($AV20,Dummy!$A:$R,16,FALSE)</f>
        <v>0</v>
      </c>
      <c r="BL20" s="32">
        <f>VLOOKUP($AV20,Dummy!$A:$R,17,FALSE)</f>
        <v>0</v>
      </c>
      <c r="BM20" s="33" t="str">
        <f>VLOOKUP($AV20,Dummy!$A:$R,18,FALSE)</f>
        <v>MAX</v>
      </c>
    </row>
    <row r="21" spans="2:65" x14ac:dyDescent="0.25">
      <c r="B21" s="18">
        <v>45812</v>
      </c>
      <c r="C21" s="22">
        <v>0.875</v>
      </c>
      <c r="D21" s="30" t="s">
        <v>55</v>
      </c>
      <c r="E21" s="37"/>
      <c r="F21" s="11" t="s">
        <v>7</v>
      </c>
      <c r="G21" s="38"/>
      <c r="H21" s="26" t="s">
        <v>43</v>
      </c>
      <c r="I21" s="37"/>
      <c r="J21" s="11" t="s">
        <v>7</v>
      </c>
      <c r="K21" s="38"/>
      <c r="L21" s="37"/>
      <c r="M21" s="11" t="s">
        <v>7</v>
      </c>
      <c r="N21" s="38"/>
      <c r="O21" s="37"/>
      <c r="P21" s="11" t="s">
        <v>7</v>
      </c>
      <c r="Q21" s="38"/>
      <c r="R21" s="37"/>
      <c r="S21" s="11" t="s">
        <v>7</v>
      </c>
      <c r="T21" s="38"/>
      <c r="U21" s="37"/>
      <c r="V21" s="11" t="s">
        <v>7</v>
      </c>
      <c r="W21" s="38"/>
      <c r="X21" s="9">
        <f t="shared" si="40"/>
        <v>0</v>
      </c>
      <c r="Y21" s="11" t="s">
        <v>7</v>
      </c>
      <c r="Z21" s="10">
        <f t="shared" si="41"/>
        <v>0</v>
      </c>
      <c r="AB21" s="4">
        <f t="shared" si="21"/>
        <v>0</v>
      </c>
      <c r="AC21" s="4">
        <f t="shared" si="22"/>
        <v>0</v>
      </c>
      <c r="AD21" s="4">
        <f t="shared" si="23"/>
        <v>0</v>
      </c>
      <c r="AE21" s="4">
        <f t="shared" si="24"/>
        <v>0</v>
      </c>
      <c r="AF21" s="4">
        <f t="shared" si="25"/>
        <v>0</v>
      </c>
      <c r="AG21" s="4">
        <f t="shared" si="26"/>
        <v>0</v>
      </c>
      <c r="AH21" s="4">
        <f t="shared" si="27"/>
        <v>0</v>
      </c>
      <c r="AI21" s="4">
        <f t="shared" si="28"/>
        <v>0</v>
      </c>
      <c r="AJ21" s="4">
        <f t="shared" si="29"/>
        <v>0</v>
      </c>
      <c r="AK21" s="4">
        <f t="shared" si="30"/>
        <v>0</v>
      </c>
      <c r="AM21" s="4">
        <f t="shared" si="31"/>
        <v>0</v>
      </c>
      <c r="AN21" s="4">
        <f t="shared" si="32"/>
        <v>0</v>
      </c>
      <c r="AO21" s="4">
        <f t="shared" si="33"/>
        <v>0</v>
      </c>
      <c r="AP21" s="4">
        <f t="shared" si="34"/>
        <v>0</v>
      </c>
      <c r="AQ21" s="4">
        <f t="shared" si="35"/>
        <v>0</v>
      </c>
      <c r="AR21" s="4">
        <f t="shared" si="36"/>
        <v>0</v>
      </c>
      <c r="AS21" s="4">
        <f t="shared" si="37"/>
        <v>0</v>
      </c>
      <c r="AT21" s="4">
        <f t="shared" si="38"/>
        <v>0</v>
      </c>
      <c r="AU21" s="4">
        <f t="shared" si="39"/>
        <v>0</v>
      </c>
      <c r="AV21" s="35">
        <v>18</v>
      </c>
      <c r="AW21" s="34" t="str">
        <f>VLOOKUP($AV21,Dummy!$A:$R,2,FALSE)</f>
        <v>Turquia</v>
      </c>
      <c r="AX21" s="32">
        <f>VLOOKUP($AV21,Dummy!$A:$R,3,FALSE)</f>
        <v>0</v>
      </c>
      <c r="AY21" s="32">
        <f>VLOOKUP($AV21,Dummy!$A:$R,4,FALSE)</f>
        <v>0</v>
      </c>
      <c r="AZ21" s="32">
        <f>VLOOKUP($AV21,Dummy!$A:$R,5,FALSE)</f>
        <v>0</v>
      </c>
      <c r="BA21" s="32">
        <f>VLOOKUP($AV21,Dummy!$A:$R,6,FALSE)</f>
        <v>0</v>
      </c>
      <c r="BB21" s="32">
        <f>VLOOKUP($AV21,Dummy!$A:$R,7,FALSE)</f>
        <v>0</v>
      </c>
      <c r="BC21" s="32">
        <f>VLOOKUP($AV21,Dummy!$A:$R,8,FALSE)</f>
        <v>0</v>
      </c>
      <c r="BD21" s="32">
        <f>VLOOKUP($AV21,Dummy!$A:$R,9,FALSE)</f>
        <v>0</v>
      </c>
      <c r="BE21" s="32">
        <f>VLOOKUP($AV21,Dummy!$A:$R,10,FALSE)</f>
        <v>0</v>
      </c>
      <c r="BF21" s="32">
        <f>VLOOKUP($AV21,Dummy!$A:$R,11,FALSE)</f>
        <v>0</v>
      </c>
      <c r="BG21" s="32">
        <f>VLOOKUP($AV21,Dummy!$A:$R,12,FALSE)</f>
        <v>0</v>
      </c>
      <c r="BH21" s="32">
        <f>VLOOKUP($AV21,Dummy!$A:$R,13,FALSE)</f>
        <v>0</v>
      </c>
      <c r="BI21" s="32">
        <f>VLOOKUP($AV21,Dummy!$A:$R,14,FALSE)</f>
        <v>0</v>
      </c>
      <c r="BJ21" s="33" t="str">
        <f>VLOOKUP($AV21,Dummy!$A:$R,15,FALSE)</f>
        <v>MAX</v>
      </c>
      <c r="BK21" s="32">
        <f>VLOOKUP($AV21,Dummy!$A:$R,16,FALSE)</f>
        <v>0</v>
      </c>
      <c r="BL21" s="32">
        <f>VLOOKUP($AV21,Dummy!$A:$R,17,FALSE)</f>
        <v>0</v>
      </c>
      <c r="BM21" s="33" t="str">
        <f>VLOOKUP($AV21,Dummy!$A:$R,18,FALSE)</f>
        <v>MAX</v>
      </c>
    </row>
    <row r="22" spans="2:65" x14ac:dyDescent="0.25">
      <c r="B22" s="18">
        <v>45813</v>
      </c>
      <c r="C22" s="22">
        <v>0.72916666666666663</v>
      </c>
      <c r="D22" s="30" t="s">
        <v>43</v>
      </c>
      <c r="E22" s="37"/>
      <c r="F22" s="11" t="s">
        <v>7</v>
      </c>
      <c r="G22" s="38"/>
      <c r="H22" s="26" t="s">
        <v>40</v>
      </c>
      <c r="I22" s="37"/>
      <c r="J22" s="11" t="s">
        <v>7</v>
      </c>
      <c r="K22" s="38"/>
      <c r="L22" s="37"/>
      <c r="M22" s="11" t="s">
        <v>7</v>
      </c>
      <c r="N22" s="38"/>
      <c r="O22" s="37"/>
      <c r="P22" s="11" t="s">
        <v>7</v>
      </c>
      <c r="Q22" s="38"/>
      <c r="R22" s="37"/>
      <c r="S22" s="11" t="s">
        <v>7</v>
      </c>
      <c r="T22" s="38"/>
      <c r="U22" s="37"/>
      <c r="V22" s="11" t="s">
        <v>7</v>
      </c>
      <c r="W22" s="38"/>
      <c r="X22" s="9">
        <f t="shared" si="40"/>
        <v>0</v>
      </c>
      <c r="Y22" s="11" t="s">
        <v>7</v>
      </c>
      <c r="Z22" s="10">
        <f t="shared" si="41"/>
        <v>0</v>
      </c>
      <c r="AB22" s="4">
        <f t="shared" si="21"/>
        <v>0</v>
      </c>
      <c r="AC22" s="4">
        <f t="shared" si="22"/>
        <v>0</v>
      </c>
      <c r="AD22" s="4">
        <f t="shared" si="23"/>
        <v>0</v>
      </c>
      <c r="AE22" s="4">
        <f t="shared" si="24"/>
        <v>0</v>
      </c>
      <c r="AF22" s="4">
        <f t="shared" si="25"/>
        <v>0</v>
      </c>
      <c r="AG22" s="4">
        <f t="shared" si="26"/>
        <v>0</v>
      </c>
      <c r="AH22" s="4">
        <f t="shared" si="27"/>
        <v>0</v>
      </c>
      <c r="AI22" s="4">
        <f t="shared" si="28"/>
        <v>0</v>
      </c>
      <c r="AJ22" s="4">
        <f t="shared" si="29"/>
        <v>0</v>
      </c>
      <c r="AK22" s="4">
        <f t="shared" si="30"/>
        <v>0</v>
      </c>
      <c r="AM22" s="4">
        <f t="shared" si="31"/>
        <v>0</v>
      </c>
      <c r="AN22" s="4">
        <f t="shared" si="32"/>
        <v>0</v>
      </c>
      <c r="AO22" s="4">
        <f t="shared" si="33"/>
        <v>0</v>
      </c>
      <c r="AP22" s="4">
        <f t="shared" si="34"/>
        <v>0</v>
      </c>
      <c r="AQ22" s="4">
        <f t="shared" si="35"/>
        <v>0</v>
      </c>
      <c r="AR22" s="4">
        <f t="shared" si="36"/>
        <v>0</v>
      </c>
      <c r="AS22" s="4">
        <f t="shared" si="37"/>
        <v>0</v>
      </c>
      <c r="AT22" s="4">
        <f t="shared" si="38"/>
        <v>0</v>
      </c>
      <c r="AU22" s="4">
        <f t="shared" si="39"/>
        <v>0</v>
      </c>
      <c r="AY22" s="57">
        <f>SUM(AY4:AY21)</f>
        <v>0</v>
      </c>
    </row>
    <row r="23" spans="2:65" x14ac:dyDescent="0.25">
      <c r="B23" s="18">
        <v>45813</v>
      </c>
      <c r="C23" s="22">
        <v>0.875</v>
      </c>
      <c r="D23" s="30" t="s">
        <v>56</v>
      </c>
      <c r="E23" s="37"/>
      <c r="F23" s="11" t="s">
        <v>7</v>
      </c>
      <c r="G23" s="38"/>
      <c r="H23" s="26" t="s">
        <v>50</v>
      </c>
      <c r="I23" s="37"/>
      <c r="J23" s="11" t="s">
        <v>7</v>
      </c>
      <c r="K23" s="38"/>
      <c r="L23" s="37"/>
      <c r="M23" s="11" t="s">
        <v>7</v>
      </c>
      <c r="N23" s="38"/>
      <c r="O23" s="37"/>
      <c r="P23" s="11" t="s">
        <v>7</v>
      </c>
      <c r="Q23" s="38"/>
      <c r="R23" s="37"/>
      <c r="S23" s="11" t="s">
        <v>7</v>
      </c>
      <c r="T23" s="38"/>
      <c r="U23" s="37"/>
      <c r="V23" s="11" t="s">
        <v>7</v>
      </c>
      <c r="W23" s="38"/>
      <c r="X23" s="9">
        <f t="shared" si="40"/>
        <v>0</v>
      </c>
      <c r="Y23" s="11" t="s">
        <v>7</v>
      </c>
      <c r="Z23" s="10">
        <f t="shared" si="41"/>
        <v>0</v>
      </c>
      <c r="AB23" s="4">
        <f t="shared" si="21"/>
        <v>0</v>
      </c>
      <c r="AC23" s="4">
        <f t="shared" si="22"/>
        <v>0</v>
      </c>
      <c r="AD23" s="4">
        <f t="shared" si="23"/>
        <v>0</v>
      </c>
      <c r="AE23" s="4">
        <f t="shared" si="24"/>
        <v>0</v>
      </c>
      <c r="AF23" s="4">
        <f t="shared" si="25"/>
        <v>0</v>
      </c>
      <c r="AG23" s="4">
        <f t="shared" si="26"/>
        <v>0</v>
      </c>
      <c r="AH23" s="4">
        <f t="shared" si="27"/>
        <v>0</v>
      </c>
      <c r="AI23" s="4">
        <f t="shared" si="28"/>
        <v>0</v>
      </c>
      <c r="AJ23" s="4">
        <f t="shared" si="29"/>
        <v>0</v>
      </c>
      <c r="AK23" s="4">
        <f t="shared" si="30"/>
        <v>0</v>
      </c>
      <c r="AM23" s="4">
        <f t="shared" si="31"/>
        <v>0</v>
      </c>
      <c r="AN23" s="4">
        <f t="shared" si="32"/>
        <v>0</v>
      </c>
      <c r="AO23" s="4">
        <f t="shared" si="33"/>
        <v>0</v>
      </c>
      <c r="AP23" s="4">
        <f t="shared" si="34"/>
        <v>0</v>
      </c>
      <c r="AQ23" s="4">
        <f t="shared" si="35"/>
        <v>0</v>
      </c>
      <c r="AR23" s="4">
        <f t="shared" si="36"/>
        <v>0</v>
      </c>
      <c r="AS23" s="4">
        <f t="shared" si="37"/>
        <v>0</v>
      </c>
      <c r="AT23" s="4">
        <f t="shared" si="38"/>
        <v>0</v>
      </c>
      <c r="AU23" s="4">
        <f t="shared" si="39"/>
        <v>0</v>
      </c>
      <c r="AV23" s="62" t="s">
        <v>99</v>
      </c>
      <c r="AW23" s="62"/>
    </row>
    <row r="24" spans="2:65" x14ac:dyDescent="0.25">
      <c r="B24" s="18">
        <v>45814</v>
      </c>
      <c r="C24" s="22">
        <v>0.72916666666666663</v>
      </c>
      <c r="D24" s="30" t="s">
        <v>55</v>
      </c>
      <c r="E24" s="37"/>
      <c r="F24" s="11" t="s">
        <v>7</v>
      </c>
      <c r="G24" s="38"/>
      <c r="H24" s="26" t="s">
        <v>40</v>
      </c>
      <c r="I24" s="37"/>
      <c r="J24" s="11" t="s">
        <v>7</v>
      </c>
      <c r="K24" s="38"/>
      <c r="L24" s="37"/>
      <c r="M24" s="11" t="s">
        <v>7</v>
      </c>
      <c r="N24" s="38"/>
      <c r="O24" s="37"/>
      <c r="P24" s="11" t="s">
        <v>7</v>
      </c>
      <c r="Q24" s="38"/>
      <c r="R24" s="37"/>
      <c r="S24" s="11" t="s">
        <v>7</v>
      </c>
      <c r="T24" s="38"/>
      <c r="U24" s="37"/>
      <c r="V24" s="11" t="s">
        <v>7</v>
      </c>
      <c r="W24" s="38"/>
      <c r="X24" s="9">
        <f t="shared" si="40"/>
        <v>0</v>
      </c>
      <c r="Y24" s="11" t="s">
        <v>7</v>
      </c>
      <c r="Z24" s="10">
        <f t="shared" si="41"/>
        <v>0</v>
      </c>
      <c r="AB24" s="4">
        <f t="shared" si="21"/>
        <v>0</v>
      </c>
      <c r="AC24" s="4">
        <f t="shared" si="22"/>
        <v>0</v>
      </c>
      <c r="AD24" s="4">
        <f t="shared" si="23"/>
        <v>0</v>
      </c>
      <c r="AE24" s="4">
        <f t="shared" si="24"/>
        <v>0</v>
      </c>
      <c r="AF24" s="4">
        <f t="shared" si="25"/>
        <v>0</v>
      </c>
      <c r="AG24" s="4">
        <f t="shared" si="26"/>
        <v>0</v>
      </c>
      <c r="AH24" s="4">
        <f t="shared" si="27"/>
        <v>0</v>
      </c>
      <c r="AI24" s="4">
        <f t="shared" si="28"/>
        <v>0</v>
      </c>
      <c r="AJ24" s="4">
        <f t="shared" si="29"/>
        <v>0</v>
      </c>
      <c r="AK24" s="4">
        <f t="shared" si="30"/>
        <v>0</v>
      </c>
      <c r="AM24" s="4">
        <f t="shared" si="31"/>
        <v>0</v>
      </c>
      <c r="AN24" s="4">
        <f t="shared" si="32"/>
        <v>0</v>
      </c>
      <c r="AO24" s="4">
        <f t="shared" si="33"/>
        <v>0</v>
      </c>
      <c r="AP24" s="4">
        <f t="shared" si="34"/>
        <v>0</v>
      </c>
      <c r="AQ24" s="4">
        <f t="shared" si="35"/>
        <v>0</v>
      </c>
      <c r="AR24" s="4">
        <f t="shared" si="36"/>
        <v>0</v>
      </c>
      <c r="AS24" s="4">
        <f t="shared" si="37"/>
        <v>0</v>
      </c>
      <c r="AT24" s="4">
        <f t="shared" si="38"/>
        <v>0</v>
      </c>
      <c r="AU24" s="4">
        <f t="shared" si="39"/>
        <v>0</v>
      </c>
      <c r="AV24" s="58"/>
      <c r="AW24" s="7" t="s">
        <v>100</v>
      </c>
    </row>
    <row r="25" spans="2:65" x14ac:dyDescent="0.25">
      <c r="B25" s="18">
        <v>45814</v>
      </c>
      <c r="C25" s="22">
        <v>0.875</v>
      </c>
      <c r="D25" s="30" t="s">
        <v>60</v>
      </c>
      <c r="E25" s="37"/>
      <c r="F25" s="11" t="s">
        <v>7</v>
      </c>
      <c r="G25" s="38"/>
      <c r="H25" s="26" t="s">
        <v>56</v>
      </c>
      <c r="I25" s="37"/>
      <c r="J25" s="11" t="s">
        <v>7</v>
      </c>
      <c r="K25" s="38"/>
      <c r="L25" s="37"/>
      <c r="M25" s="11" t="s">
        <v>7</v>
      </c>
      <c r="N25" s="38"/>
      <c r="O25" s="37"/>
      <c r="P25" s="11" t="s">
        <v>7</v>
      </c>
      <c r="Q25" s="38"/>
      <c r="R25" s="37"/>
      <c r="S25" s="11" t="s">
        <v>7</v>
      </c>
      <c r="T25" s="38"/>
      <c r="U25" s="37"/>
      <c r="V25" s="11" t="s">
        <v>7</v>
      </c>
      <c r="W25" s="38"/>
      <c r="X25" s="9">
        <f t="shared" si="40"/>
        <v>0</v>
      </c>
      <c r="Y25" s="11" t="s">
        <v>7</v>
      </c>
      <c r="Z25" s="10">
        <f t="shared" si="41"/>
        <v>0</v>
      </c>
      <c r="AB25" s="4">
        <f t="shared" si="21"/>
        <v>0</v>
      </c>
      <c r="AC25" s="4">
        <f t="shared" si="22"/>
        <v>0</v>
      </c>
      <c r="AD25" s="4">
        <f t="shared" si="23"/>
        <v>0</v>
      </c>
      <c r="AE25" s="4">
        <f t="shared" si="24"/>
        <v>0</v>
      </c>
      <c r="AF25" s="4">
        <f t="shared" si="25"/>
        <v>0</v>
      </c>
      <c r="AG25" s="4">
        <f t="shared" si="26"/>
        <v>0</v>
      </c>
      <c r="AH25" s="4">
        <f t="shared" si="27"/>
        <v>0</v>
      </c>
      <c r="AI25" s="4">
        <f t="shared" si="28"/>
        <v>0</v>
      </c>
      <c r="AJ25" s="4">
        <f t="shared" si="29"/>
        <v>0</v>
      </c>
      <c r="AK25" s="4">
        <f t="shared" si="30"/>
        <v>0</v>
      </c>
      <c r="AM25" s="4">
        <f t="shared" si="31"/>
        <v>0</v>
      </c>
      <c r="AN25" s="4">
        <f t="shared" si="32"/>
        <v>0</v>
      </c>
      <c r="AO25" s="4">
        <f t="shared" si="33"/>
        <v>0</v>
      </c>
      <c r="AP25" s="4">
        <f t="shared" si="34"/>
        <v>0</v>
      </c>
      <c r="AQ25" s="4">
        <f t="shared" si="35"/>
        <v>0</v>
      </c>
      <c r="AR25" s="4">
        <f t="shared" si="36"/>
        <v>0</v>
      </c>
      <c r="AS25" s="4">
        <f t="shared" si="37"/>
        <v>0</v>
      </c>
      <c r="AT25" s="4">
        <f t="shared" si="38"/>
        <v>0</v>
      </c>
      <c r="AU25" s="4">
        <f t="shared" si="39"/>
        <v>0</v>
      </c>
      <c r="AV25" s="59"/>
      <c r="AW25" s="7" t="s">
        <v>101</v>
      </c>
    </row>
    <row r="26" spans="2:65" x14ac:dyDescent="0.25">
      <c r="B26" s="18">
        <v>45815</v>
      </c>
      <c r="C26" s="22">
        <v>0.5625</v>
      </c>
      <c r="D26" s="30" t="s">
        <v>43</v>
      </c>
      <c r="E26" s="37"/>
      <c r="F26" s="11" t="s">
        <v>7</v>
      </c>
      <c r="G26" s="38"/>
      <c r="H26" s="26" t="s">
        <v>50</v>
      </c>
      <c r="I26" s="37"/>
      <c r="J26" s="11" t="s">
        <v>7</v>
      </c>
      <c r="K26" s="38"/>
      <c r="L26" s="37"/>
      <c r="M26" s="11" t="s">
        <v>7</v>
      </c>
      <c r="N26" s="38"/>
      <c r="O26" s="37"/>
      <c r="P26" s="11" t="s">
        <v>7</v>
      </c>
      <c r="Q26" s="38"/>
      <c r="R26" s="37"/>
      <c r="S26" s="11" t="s">
        <v>7</v>
      </c>
      <c r="T26" s="38"/>
      <c r="U26" s="37"/>
      <c r="V26" s="11" t="s">
        <v>7</v>
      </c>
      <c r="W26" s="38"/>
      <c r="X26" s="9">
        <f t="shared" si="40"/>
        <v>0</v>
      </c>
      <c r="Y26" s="11" t="s">
        <v>7</v>
      </c>
      <c r="Z26" s="10">
        <f t="shared" si="41"/>
        <v>0</v>
      </c>
      <c r="AB26" s="4">
        <f t="shared" si="21"/>
        <v>0</v>
      </c>
      <c r="AC26" s="4">
        <f t="shared" si="22"/>
        <v>0</v>
      </c>
      <c r="AD26" s="4">
        <f t="shared" si="23"/>
        <v>0</v>
      </c>
      <c r="AE26" s="4">
        <f t="shared" si="24"/>
        <v>0</v>
      </c>
      <c r="AF26" s="4">
        <f t="shared" si="25"/>
        <v>0</v>
      </c>
      <c r="AG26" s="4">
        <f t="shared" si="26"/>
        <v>0</v>
      </c>
      <c r="AH26" s="4">
        <f t="shared" si="27"/>
        <v>0</v>
      </c>
      <c r="AI26" s="4">
        <f t="shared" si="28"/>
        <v>0</v>
      </c>
      <c r="AJ26" s="4">
        <f t="shared" si="29"/>
        <v>0</v>
      </c>
      <c r="AK26" s="4">
        <f t="shared" si="30"/>
        <v>0</v>
      </c>
      <c r="AM26" s="4">
        <f t="shared" si="31"/>
        <v>0</v>
      </c>
      <c r="AN26" s="4">
        <f t="shared" si="32"/>
        <v>0</v>
      </c>
      <c r="AO26" s="4">
        <f t="shared" si="33"/>
        <v>0</v>
      </c>
      <c r="AP26" s="4">
        <f t="shared" si="34"/>
        <v>0</v>
      </c>
      <c r="AQ26" s="4">
        <f t="shared" si="35"/>
        <v>0</v>
      </c>
      <c r="AR26" s="4">
        <f t="shared" si="36"/>
        <v>0</v>
      </c>
      <c r="AS26" s="4">
        <f t="shared" si="37"/>
        <v>0</v>
      </c>
      <c r="AT26" s="4">
        <f t="shared" si="38"/>
        <v>0</v>
      </c>
      <c r="AU26" s="4">
        <f t="shared" si="39"/>
        <v>0</v>
      </c>
    </row>
    <row r="27" spans="2:65" x14ac:dyDescent="0.25">
      <c r="B27" s="18">
        <v>45815</v>
      </c>
      <c r="C27" s="22">
        <v>0.70833333333333337</v>
      </c>
      <c r="D27" s="30" t="s">
        <v>55</v>
      </c>
      <c r="E27" s="37"/>
      <c r="F27" s="11" t="s">
        <v>7</v>
      </c>
      <c r="G27" s="38"/>
      <c r="H27" s="26" t="s">
        <v>60</v>
      </c>
      <c r="I27" s="37"/>
      <c r="J27" s="11" t="s">
        <v>7</v>
      </c>
      <c r="K27" s="38"/>
      <c r="L27" s="37"/>
      <c r="M27" s="11" t="s">
        <v>7</v>
      </c>
      <c r="N27" s="38"/>
      <c r="O27" s="37"/>
      <c r="P27" s="11" t="s">
        <v>7</v>
      </c>
      <c r="Q27" s="38"/>
      <c r="R27" s="37"/>
      <c r="S27" s="11" t="s">
        <v>7</v>
      </c>
      <c r="T27" s="38"/>
      <c r="U27" s="37"/>
      <c r="V27" s="11" t="s">
        <v>7</v>
      </c>
      <c r="W27" s="38"/>
      <c r="X27" s="9">
        <f t="shared" si="40"/>
        <v>0</v>
      </c>
      <c r="Y27" s="11" t="s">
        <v>7</v>
      </c>
      <c r="Z27" s="10">
        <f t="shared" si="41"/>
        <v>0</v>
      </c>
      <c r="AB27" s="4">
        <f t="shared" si="21"/>
        <v>0</v>
      </c>
      <c r="AC27" s="4">
        <f t="shared" si="22"/>
        <v>0</v>
      </c>
      <c r="AD27" s="4">
        <f t="shared" si="23"/>
        <v>0</v>
      </c>
      <c r="AE27" s="4">
        <f t="shared" si="24"/>
        <v>0</v>
      </c>
      <c r="AF27" s="4">
        <f t="shared" si="25"/>
        <v>0</v>
      </c>
      <c r="AG27" s="4">
        <f t="shared" si="26"/>
        <v>0</v>
      </c>
      <c r="AH27" s="4">
        <f t="shared" si="27"/>
        <v>0</v>
      </c>
      <c r="AI27" s="4">
        <f t="shared" si="28"/>
        <v>0</v>
      </c>
      <c r="AJ27" s="4">
        <f t="shared" si="29"/>
        <v>0</v>
      </c>
      <c r="AK27" s="4">
        <f t="shared" si="30"/>
        <v>0</v>
      </c>
      <c r="AM27" s="4">
        <f t="shared" si="31"/>
        <v>0</v>
      </c>
      <c r="AN27" s="4">
        <f t="shared" si="32"/>
        <v>0</v>
      </c>
      <c r="AO27" s="4">
        <f t="shared" si="33"/>
        <v>0</v>
      </c>
      <c r="AP27" s="4">
        <f t="shared" si="34"/>
        <v>0</v>
      </c>
      <c r="AQ27" s="4">
        <f t="shared" si="35"/>
        <v>0</v>
      </c>
      <c r="AR27" s="4">
        <f t="shared" si="36"/>
        <v>0</v>
      </c>
      <c r="AS27" s="4">
        <f t="shared" si="37"/>
        <v>0</v>
      </c>
      <c r="AT27" s="4">
        <f t="shared" si="38"/>
        <v>0</v>
      </c>
      <c r="AU27" s="4">
        <f t="shared" si="39"/>
        <v>0</v>
      </c>
    </row>
    <row r="28" spans="2:65" x14ac:dyDescent="0.25">
      <c r="B28" s="18">
        <v>45816</v>
      </c>
      <c r="C28" s="22">
        <v>0.41666666666666669</v>
      </c>
      <c r="D28" s="30" t="s">
        <v>50</v>
      </c>
      <c r="E28" s="37"/>
      <c r="F28" s="11" t="s">
        <v>7</v>
      </c>
      <c r="G28" s="38"/>
      <c r="H28" s="26" t="s">
        <v>40</v>
      </c>
      <c r="I28" s="37"/>
      <c r="J28" s="11" t="s">
        <v>7</v>
      </c>
      <c r="K28" s="38"/>
      <c r="L28" s="37"/>
      <c r="M28" s="11" t="s">
        <v>7</v>
      </c>
      <c r="N28" s="38"/>
      <c r="O28" s="37"/>
      <c r="P28" s="11" t="s">
        <v>7</v>
      </c>
      <c r="Q28" s="38"/>
      <c r="R28" s="37"/>
      <c r="S28" s="11" t="s">
        <v>7</v>
      </c>
      <c r="T28" s="38"/>
      <c r="U28" s="37"/>
      <c r="V28" s="11" t="s">
        <v>7</v>
      </c>
      <c r="W28" s="38"/>
      <c r="X28" s="9">
        <f t="shared" si="40"/>
        <v>0</v>
      </c>
      <c r="Y28" s="11" t="s">
        <v>7</v>
      </c>
      <c r="Z28" s="10">
        <f t="shared" si="41"/>
        <v>0</v>
      </c>
      <c r="AB28" s="4">
        <f t="shared" si="21"/>
        <v>0</v>
      </c>
      <c r="AC28" s="4">
        <f t="shared" si="22"/>
        <v>0</v>
      </c>
      <c r="AD28" s="4">
        <f t="shared" si="23"/>
        <v>0</v>
      </c>
      <c r="AE28" s="4">
        <f t="shared" si="24"/>
        <v>0</v>
      </c>
      <c r="AF28" s="4">
        <f t="shared" si="25"/>
        <v>0</v>
      </c>
      <c r="AG28" s="4">
        <f t="shared" si="26"/>
        <v>0</v>
      </c>
      <c r="AH28" s="4">
        <f t="shared" si="27"/>
        <v>0</v>
      </c>
      <c r="AI28" s="4">
        <f t="shared" si="28"/>
        <v>0</v>
      </c>
      <c r="AJ28" s="4">
        <f t="shared" si="29"/>
        <v>0</v>
      </c>
      <c r="AK28" s="4">
        <f t="shared" si="30"/>
        <v>0</v>
      </c>
      <c r="AM28" s="4">
        <f t="shared" si="31"/>
        <v>0</v>
      </c>
      <c r="AN28" s="4">
        <f t="shared" si="32"/>
        <v>0</v>
      </c>
      <c r="AO28" s="4">
        <f t="shared" si="33"/>
        <v>0</v>
      </c>
      <c r="AP28" s="4">
        <f t="shared" si="34"/>
        <v>0</v>
      </c>
      <c r="AQ28" s="4">
        <f t="shared" si="35"/>
        <v>0</v>
      </c>
      <c r="AR28" s="4">
        <f t="shared" si="36"/>
        <v>0</v>
      </c>
      <c r="AS28" s="4">
        <f t="shared" si="37"/>
        <v>0</v>
      </c>
      <c r="AT28" s="4">
        <f t="shared" si="38"/>
        <v>0</v>
      </c>
      <c r="AU28" s="4">
        <f t="shared" si="39"/>
        <v>0</v>
      </c>
    </row>
    <row r="29" spans="2:65" x14ac:dyDescent="0.25">
      <c r="B29" s="18">
        <v>45816</v>
      </c>
      <c r="C29" s="22">
        <v>0.5625</v>
      </c>
      <c r="D29" s="30" t="s">
        <v>60</v>
      </c>
      <c r="E29" s="37"/>
      <c r="F29" s="11" t="s">
        <v>7</v>
      </c>
      <c r="G29" s="38"/>
      <c r="H29" s="26" t="s">
        <v>43</v>
      </c>
      <c r="I29" s="37"/>
      <c r="J29" s="11" t="s">
        <v>7</v>
      </c>
      <c r="K29" s="38"/>
      <c r="L29" s="37"/>
      <c r="M29" s="11" t="s">
        <v>7</v>
      </c>
      <c r="N29" s="38"/>
      <c r="O29" s="37"/>
      <c r="P29" s="11" t="s">
        <v>7</v>
      </c>
      <c r="Q29" s="38"/>
      <c r="R29" s="37"/>
      <c r="S29" s="11" t="s">
        <v>7</v>
      </c>
      <c r="T29" s="38"/>
      <c r="U29" s="37"/>
      <c r="V29" s="11" t="s">
        <v>7</v>
      </c>
      <c r="W29" s="38"/>
      <c r="X29" s="9">
        <f t="shared" si="40"/>
        <v>0</v>
      </c>
      <c r="Y29" s="11" t="s">
        <v>7</v>
      </c>
      <c r="Z29" s="10">
        <f t="shared" si="41"/>
        <v>0</v>
      </c>
      <c r="AB29" s="4">
        <f t="shared" si="21"/>
        <v>0</v>
      </c>
      <c r="AC29" s="4">
        <f t="shared" si="22"/>
        <v>0</v>
      </c>
      <c r="AD29" s="4">
        <f t="shared" si="23"/>
        <v>0</v>
      </c>
      <c r="AE29" s="4">
        <f t="shared" si="24"/>
        <v>0</v>
      </c>
      <c r="AF29" s="4">
        <f t="shared" si="25"/>
        <v>0</v>
      </c>
      <c r="AG29" s="4">
        <f t="shared" si="26"/>
        <v>0</v>
      </c>
      <c r="AH29" s="4">
        <f t="shared" si="27"/>
        <v>0</v>
      </c>
      <c r="AI29" s="4">
        <f t="shared" si="28"/>
        <v>0</v>
      </c>
      <c r="AJ29" s="4">
        <f t="shared" si="29"/>
        <v>0</v>
      </c>
      <c r="AK29" s="4">
        <f t="shared" si="30"/>
        <v>0</v>
      </c>
      <c r="AM29" s="4">
        <f t="shared" si="31"/>
        <v>0</v>
      </c>
      <c r="AN29" s="4">
        <f t="shared" si="32"/>
        <v>0</v>
      </c>
      <c r="AO29" s="4">
        <f t="shared" si="33"/>
        <v>0</v>
      </c>
      <c r="AP29" s="4">
        <f t="shared" si="34"/>
        <v>0</v>
      </c>
      <c r="AQ29" s="4">
        <f t="shared" si="35"/>
        <v>0</v>
      </c>
      <c r="AR29" s="4">
        <f t="shared" si="36"/>
        <v>0</v>
      </c>
      <c r="AS29" s="4">
        <f t="shared" si="37"/>
        <v>0</v>
      </c>
      <c r="AT29" s="4">
        <f t="shared" si="38"/>
        <v>0</v>
      </c>
      <c r="AU29" s="4">
        <f t="shared" si="39"/>
        <v>0</v>
      </c>
    </row>
    <row r="30" spans="2:65" x14ac:dyDescent="0.25">
      <c r="B30" s="18">
        <v>45816</v>
      </c>
      <c r="C30" s="22">
        <v>0.70833333333333337</v>
      </c>
      <c r="D30" s="30" t="s">
        <v>55</v>
      </c>
      <c r="E30" s="37"/>
      <c r="F30" s="11" t="s">
        <v>7</v>
      </c>
      <c r="G30" s="38"/>
      <c r="H30" s="26" t="s">
        <v>56</v>
      </c>
      <c r="I30" s="37"/>
      <c r="J30" s="11" t="s">
        <v>7</v>
      </c>
      <c r="K30" s="38"/>
      <c r="L30" s="37"/>
      <c r="M30" s="11" t="s">
        <v>7</v>
      </c>
      <c r="N30" s="38"/>
      <c r="O30" s="37"/>
      <c r="P30" s="11" t="s">
        <v>7</v>
      </c>
      <c r="Q30" s="38"/>
      <c r="R30" s="37"/>
      <c r="S30" s="11" t="s">
        <v>7</v>
      </c>
      <c r="T30" s="38"/>
      <c r="U30" s="37"/>
      <c r="V30" s="11" t="s">
        <v>7</v>
      </c>
      <c r="W30" s="38"/>
      <c r="X30" s="9">
        <f t="shared" si="40"/>
        <v>0</v>
      </c>
      <c r="Y30" s="11" t="s">
        <v>7</v>
      </c>
      <c r="Z30" s="10">
        <f t="shared" si="41"/>
        <v>0</v>
      </c>
      <c r="AB30" s="4">
        <f t="shared" si="21"/>
        <v>0</v>
      </c>
      <c r="AC30" s="4">
        <f t="shared" si="22"/>
        <v>0</v>
      </c>
      <c r="AD30" s="4">
        <f t="shared" si="23"/>
        <v>0</v>
      </c>
      <c r="AE30" s="4">
        <f t="shared" si="24"/>
        <v>0</v>
      </c>
      <c r="AF30" s="4">
        <f t="shared" si="25"/>
        <v>0</v>
      </c>
      <c r="AG30" s="4">
        <f t="shared" si="26"/>
        <v>0</v>
      </c>
      <c r="AH30" s="4">
        <f t="shared" si="27"/>
        <v>0</v>
      </c>
      <c r="AI30" s="4">
        <f t="shared" si="28"/>
        <v>0</v>
      </c>
      <c r="AJ30" s="4">
        <f t="shared" si="29"/>
        <v>0</v>
      </c>
      <c r="AK30" s="4">
        <f t="shared" si="30"/>
        <v>0</v>
      </c>
      <c r="AM30" s="4">
        <f t="shared" si="31"/>
        <v>0</v>
      </c>
      <c r="AN30" s="4">
        <f t="shared" si="32"/>
        <v>0</v>
      </c>
      <c r="AO30" s="4">
        <f t="shared" si="33"/>
        <v>0</v>
      </c>
      <c r="AP30" s="4">
        <f t="shared" si="34"/>
        <v>0</v>
      </c>
      <c r="AQ30" s="4">
        <f t="shared" si="35"/>
        <v>0</v>
      </c>
      <c r="AR30" s="4">
        <f t="shared" si="36"/>
        <v>0</v>
      </c>
      <c r="AS30" s="4">
        <f t="shared" si="37"/>
        <v>0</v>
      </c>
      <c r="AT30" s="4">
        <f t="shared" si="38"/>
        <v>0</v>
      </c>
      <c r="AU30" s="4">
        <f t="shared" si="39"/>
        <v>0</v>
      </c>
    </row>
    <row r="31" spans="2:65" ht="14.25" x14ac:dyDescent="0.25">
      <c r="B31" s="66" t="s">
        <v>13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spans="2:65" x14ac:dyDescent="0.25">
      <c r="B32" s="16" t="s">
        <v>2</v>
      </c>
      <c r="C32" s="20" t="s">
        <v>3</v>
      </c>
      <c r="D32" s="28"/>
      <c r="E32" s="67" t="s">
        <v>4</v>
      </c>
      <c r="F32" s="67"/>
      <c r="G32" s="67"/>
      <c r="H32" s="24"/>
      <c r="I32" s="68" t="s">
        <v>5</v>
      </c>
      <c r="J32" s="68"/>
      <c r="K32" s="68"/>
      <c r="L32" s="68" t="s">
        <v>6</v>
      </c>
      <c r="M32" s="68"/>
      <c r="N32" s="68"/>
      <c r="O32" s="68" t="s">
        <v>8</v>
      </c>
      <c r="P32" s="68"/>
      <c r="Q32" s="68"/>
      <c r="R32" s="68" t="s">
        <v>9</v>
      </c>
      <c r="S32" s="68"/>
      <c r="T32" s="68"/>
      <c r="U32" s="68" t="s">
        <v>10</v>
      </c>
      <c r="V32" s="68"/>
      <c r="W32" s="68"/>
      <c r="X32" s="68" t="s">
        <v>11</v>
      </c>
      <c r="Y32" s="68"/>
      <c r="Z32" s="68"/>
      <c r="AB32" s="4" t="s">
        <v>39</v>
      </c>
      <c r="AC32" s="4" t="s">
        <v>24</v>
      </c>
      <c r="AD32" s="4" t="s">
        <v>21</v>
      </c>
      <c r="AE32" s="4" t="s">
        <v>19</v>
      </c>
      <c r="AF32" s="4" t="s">
        <v>20</v>
      </c>
      <c r="AG32" s="4" t="s">
        <v>16</v>
      </c>
      <c r="AH32" s="8" t="s">
        <v>18</v>
      </c>
      <c r="AI32" s="8" t="s">
        <v>17</v>
      </c>
      <c r="AJ32" s="4" t="s">
        <v>22</v>
      </c>
      <c r="AK32" s="4" t="s">
        <v>23</v>
      </c>
      <c r="AM32" s="4" t="s">
        <v>25</v>
      </c>
      <c r="AN32" s="4" t="s">
        <v>26</v>
      </c>
      <c r="AO32" s="4" t="s">
        <v>19</v>
      </c>
      <c r="AP32" s="4" t="s">
        <v>20</v>
      </c>
      <c r="AQ32" s="8" t="s">
        <v>35</v>
      </c>
      <c r="AR32" s="8" t="s">
        <v>36</v>
      </c>
      <c r="AS32" s="8" t="s">
        <v>37</v>
      </c>
      <c r="AT32" s="4" t="s">
        <v>22</v>
      </c>
      <c r="AU32" s="4" t="s">
        <v>23</v>
      </c>
    </row>
    <row r="33" spans="2:65" x14ac:dyDescent="0.25">
      <c r="B33" s="17">
        <v>45812</v>
      </c>
      <c r="C33" s="21">
        <v>0.52083333333333337</v>
      </c>
      <c r="D33" s="29" t="s">
        <v>42</v>
      </c>
      <c r="E33" s="37"/>
      <c r="F33" s="11" t="s">
        <v>7</v>
      </c>
      <c r="G33" s="38"/>
      <c r="H33" s="25" t="s">
        <v>31</v>
      </c>
      <c r="I33" s="37"/>
      <c r="J33" s="11" t="s">
        <v>7</v>
      </c>
      <c r="K33" s="38"/>
      <c r="L33" s="37"/>
      <c r="M33" s="11" t="s">
        <v>7</v>
      </c>
      <c r="N33" s="38"/>
      <c r="O33" s="37"/>
      <c r="P33" s="11" t="s">
        <v>7</v>
      </c>
      <c r="Q33" s="38"/>
      <c r="R33" s="37"/>
      <c r="S33" s="11" t="s">
        <v>7</v>
      </c>
      <c r="T33" s="38"/>
      <c r="U33" s="37"/>
      <c r="V33" s="11" t="s">
        <v>7</v>
      </c>
      <c r="W33" s="38"/>
      <c r="X33" s="12">
        <f>SUM(I33,L33,O33,R33,U33)</f>
        <v>0</v>
      </c>
      <c r="Y33" s="13" t="s">
        <v>7</v>
      </c>
      <c r="Z33" s="14">
        <f>SUM(K33,N33,Q33,T33,W33)</f>
        <v>0</v>
      </c>
      <c r="AB33" s="4">
        <f t="shared" ref="AB33" si="42">AE33+AF33</f>
        <v>0</v>
      </c>
      <c r="AC33" s="4">
        <f t="shared" ref="AC33:AC44" si="43">IF(OR(E33="",G33=""),0,IF(E33&gt;G33,D33,H33))</f>
        <v>0</v>
      </c>
      <c r="AD33" s="4">
        <f t="shared" ref="AD33:AD44" si="44">IF(OR(E33="",G33=""),0,1)</f>
        <v>0</v>
      </c>
      <c r="AE33" s="4">
        <f t="shared" ref="AE33:AE44" si="45">IF(OR(E33="",G33=""),0,IF(E33&gt;G33,E33,G33))</f>
        <v>0</v>
      </c>
      <c r="AF33" s="4">
        <f t="shared" ref="AF33:AF44" si="46">IF(OR(E33="",G33=""),0,IF(E33&gt;G33,G33,E33))</f>
        <v>0</v>
      </c>
      <c r="AG33" s="4">
        <f t="shared" ref="AG33:AG44" si="47">IF(AND(AE33=3,AF33=0),1,0)</f>
        <v>0</v>
      </c>
      <c r="AH33" s="4">
        <f t="shared" ref="AH33:AH44" si="48">IF(AND(AE33=3,AF33=1),1,0)</f>
        <v>0</v>
      </c>
      <c r="AI33" s="4">
        <f t="shared" ref="AI33:AI44" si="49">IF(AND(AE33=3,AF33=2),1,0)</f>
        <v>0</v>
      </c>
      <c r="AJ33" s="4">
        <f t="shared" ref="AJ33:AJ44" si="50">IF(E33&gt;G33,SUM(I33,L33,O33,R33,U33,),SUM(K33,N33,Q33,T33,W33))</f>
        <v>0</v>
      </c>
      <c r="AK33" s="4">
        <f t="shared" ref="AK33:AK44" si="51">IF(E33&gt;G33,SUM(K33,N33,Q33,T33,W33),SUM(I33,L33,O33,R33,U33))</f>
        <v>0</v>
      </c>
      <c r="AM33" s="4">
        <f t="shared" ref="AM33:AM44" si="52">IF(OR(E33="",G33=""),0,IF(E33&lt;G33,D33,H33))</f>
        <v>0</v>
      </c>
      <c r="AN33" s="4">
        <f t="shared" ref="AN33:AN44" si="53">IF(OR(E33="",G33=""),0,1)</f>
        <v>0</v>
      </c>
      <c r="AO33" s="4">
        <f t="shared" ref="AO33:AO44" si="54">IF(OR(E33="",G33=""),0,IF(E33&lt;G33,E33,G33))</f>
        <v>0</v>
      </c>
      <c r="AP33" s="4">
        <f t="shared" ref="AP33:AP44" si="55">IF(OR(E33="",G33=""),0,IF(E33&lt;G33,G33,E33))</f>
        <v>0</v>
      </c>
      <c r="AQ33" s="4">
        <f t="shared" ref="AQ33:AQ44" si="56">IF(AND(AO33=2,AP33=3),1,0)</f>
        <v>0</v>
      </c>
      <c r="AR33" s="4">
        <f t="shared" ref="AR33:AR44" si="57">IF(AND(AO33=1,AP33=3),1,0)</f>
        <v>0</v>
      </c>
      <c r="AS33" s="4">
        <f t="shared" ref="AS33:AS44" si="58">IF(AND(AO33=0,AP33=3),1,0)</f>
        <v>0</v>
      </c>
      <c r="AT33" s="4">
        <f t="shared" ref="AT33:AT44" si="59">IF(E33&lt;G33,SUM(I33,L33,O33,R33,U33,),SUM(K33,N33,Q33,T33,W33))</f>
        <v>0</v>
      </c>
      <c r="AU33" s="4">
        <f t="shared" ref="AU33:AU44" si="60">IF(E33&lt;G33,SUM(K33,N33,Q33,T33,W33),SUM(I33,L33,O33,R33,U33))</f>
        <v>0</v>
      </c>
    </row>
    <row r="34" spans="2:65" x14ac:dyDescent="0.25">
      <c r="B34" s="17">
        <v>45812</v>
      </c>
      <c r="C34" s="21">
        <v>0.66666666666666663</v>
      </c>
      <c r="D34" s="29" t="s">
        <v>59</v>
      </c>
      <c r="E34" s="37"/>
      <c r="F34" s="11" t="s">
        <v>7</v>
      </c>
      <c r="G34" s="38"/>
      <c r="H34" s="25" t="s">
        <v>41</v>
      </c>
      <c r="I34" s="37"/>
      <c r="J34" s="11" t="s">
        <v>7</v>
      </c>
      <c r="K34" s="38"/>
      <c r="L34" s="37"/>
      <c r="M34" s="11" t="s">
        <v>7</v>
      </c>
      <c r="N34" s="38"/>
      <c r="O34" s="37"/>
      <c r="P34" s="11" t="s">
        <v>7</v>
      </c>
      <c r="Q34" s="38"/>
      <c r="R34" s="37"/>
      <c r="S34" s="11" t="s">
        <v>7</v>
      </c>
      <c r="T34" s="38"/>
      <c r="U34" s="37"/>
      <c r="V34" s="11" t="s">
        <v>7</v>
      </c>
      <c r="W34" s="38"/>
      <c r="X34" s="12">
        <f t="shared" ref="X34:X44" si="61">SUM(I34,L34,O34,R34,U34)</f>
        <v>0</v>
      </c>
      <c r="Y34" s="13" t="s">
        <v>7</v>
      </c>
      <c r="Z34" s="14">
        <f t="shared" ref="Z34:Z44" si="62">SUM(K34,N34,Q34,T34,W34)</f>
        <v>0</v>
      </c>
      <c r="AB34" s="4">
        <f t="shared" si="21"/>
        <v>0</v>
      </c>
      <c r="AC34" s="4">
        <f t="shared" si="43"/>
        <v>0</v>
      </c>
      <c r="AD34" s="4">
        <f t="shared" si="44"/>
        <v>0</v>
      </c>
      <c r="AE34" s="4">
        <f t="shared" si="45"/>
        <v>0</v>
      </c>
      <c r="AF34" s="4">
        <f t="shared" si="46"/>
        <v>0</v>
      </c>
      <c r="AG34" s="4">
        <f t="shared" si="47"/>
        <v>0</v>
      </c>
      <c r="AH34" s="4">
        <f t="shared" si="48"/>
        <v>0</v>
      </c>
      <c r="AI34" s="4">
        <f t="shared" si="49"/>
        <v>0</v>
      </c>
      <c r="AJ34" s="4">
        <f t="shared" si="50"/>
        <v>0</v>
      </c>
      <c r="AK34" s="4">
        <f t="shared" si="51"/>
        <v>0</v>
      </c>
      <c r="AM34" s="4">
        <f t="shared" si="52"/>
        <v>0</v>
      </c>
      <c r="AN34" s="4">
        <f t="shared" si="53"/>
        <v>0</v>
      </c>
      <c r="AO34" s="4">
        <f t="shared" si="54"/>
        <v>0</v>
      </c>
      <c r="AP34" s="4">
        <f t="shared" si="55"/>
        <v>0</v>
      </c>
      <c r="AQ34" s="4">
        <f t="shared" si="56"/>
        <v>0</v>
      </c>
      <c r="AR34" s="4">
        <f t="shared" si="57"/>
        <v>0</v>
      </c>
      <c r="AS34" s="4">
        <f t="shared" si="58"/>
        <v>0</v>
      </c>
      <c r="AT34" s="4">
        <f t="shared" si="59"/>
        <v>0</v>
      </c>
      <c r="AU34" s="4">
        <f t="shared" si="60"/>
        <v>0</v>
      </c>
    </row>
    <row r="35" spans="2:65" x14ac:dyDescent="0.25">
      <c r="B35" s="17">
        <v>45812</v>
      </c>
      <c r="C35" s="21">
        <v>0.8125</v>
      </c>
      <c r="D35" s="29" t="s">
        <v>54</v>
      </c>
      <c r="E35" s="37"/>
      <c r="F35" s="11" t="s">
        <v>7</v>
      </c>
      <c r="G35" s="38"/>
      <c r="H35" s="25" t="s">
        <v>49</v>
      </c>
      <c r="I35" s="37"/>
      <c r="J35" s="11" t="s">
        <v>7</v>
      </c>
      <c r="K35" s="38"/>
      <c r="L35" s="37"/>
      <c r="M35" s="11" t="s">
        <v>7</v>
      </c>
      <c r="N35" s="38"/>
      <c r="O35" s="37"/>
      <c r="P35" s="11" t="s">
        <v>7</v>
      </c>
      <c r="Q35" s="38"/>
      <c r="R35" s="37"/>
      <c r="S35" s="11" t="s">
        <v>7</v>
      </c>
      <c r="T35" s="38"/>
      <c r="U35" s="37"/>
      <c r="V35" s="11" t="s">
        <v>7</v>
      </c>
      <c r="W35" s="38"/>
      <c r="X35" s="12">
        <f t="shared" si="61"/>
        <v>0</v>
      </c>
      <c r="Y35" s="13" t="s">
        <v>7</v>
      </c>
      <c r="Z35" s="14">
        <f t="shared" si="62"/>
        <v>0</v>
      </c>
      <c r="AB35" s="4">
        <f t="shared" si="21"/>
        <v>0</v>
      </c>
      <c r="AC35" s="4">
        <f t="shared" si="43"/>
        <v>0</v>
      </c>
      <c r="AD35" s="4">
        <f t="shared" si="44"/>
        <v>0</v>
      </c>
      <c r="AE35" s="4">
        <f t="shared" si="45"/>
        <v>0</v>
      </c>
      <c r="AF35" s="4">
        <f t="shared" si="46"/>
        <v>0</v>
      </c>
      <c r="AG35" s="4">
        <f t="shared" si="47"/>
        <v>0</v>
      </c>
      <c r="AH35" s="4">
        <f t="shared" si="48"/>
        <v>0</v>
      </c>
      <c r="AI35" s="4">
        <f t="shared" si="49"/>
        <v>0</v>
      </c>
      <c r="AJ35" s="4">
        <f t="shared" si="50"/>
        <v>0</v>
      </c>
      <c r="AK35" s="4">
        <f t="shared" si="51"/>
        <v>0</v>
      </c>
      <c r="AM35" s="4">
        <f t="shared" si="52"/>
        <v>0</v>
      </c>
      <c r="AN35" s="4">
        <f t="shared" si="53"/>
        <v>0</v>
      </c>
      <c r="AO35" s="4">
        <f t="shared" si="54"/>
        <v>0</v>
      </c>
      <c r="AP35" s="4">
        <f t="shared" si="55"/>
        <v>0</v>
      </c>
      <c r="AQ35" s="4">
        <f t="shared" si="56"/>
        <v>0</v>
      </c>
      <c r="AR35" s="4">
        <f t="shared" si="57"/>
        <v>0</v>
      </c>
      <c r="AS35" s="4">
        <f t="shared" si="58"/>
        <v>0</v>
      </c>
      <c r="AT35" s="4">
        <f t="shared" si="59"/>
        <v>0</v>
      </c>
      <c r="AU35" s="4">
        <f t="shared" si="60"/>
        <v>0</v>
      </c>
    </row>
    <row r="36" spans="2:65" x14ac:dyDescent="0.25">
      <c r="B36" s="17">
        <v>45813</v>
      </c>
      <c r="C36" s="21">
        <v>0.66666666666666663</v>
      </c>
      <c r="D36" s="29" t="s">
        <v>49</v>
      </c>
      <c r="E36" s="37"/>
      <c r="F36" s="11" t="s">
        <v>7</v>
      </c>
      <c r="G36" s="38"/>
      <c r="H36" s="25" t="s">
        <v>59</v>
      </c>
      <c r="I36" s="37"/>
      <c r="J36" s="11" t="s">
        <v>7</v>
      </c>
      <c r="K36" s="38"/>
      <c r="L36" s="37"/>
      <c r="M36" s="11" t="s">
        <v>7</v>
      </c>
      <c r="N36" s="38"/>
      <c r="O36" s="37"/>
      <c r="P36" s="11" t="s">
        <v>7</v>
      </c>
      <c r="Q36" s="38"/>
      <c r="R36" s="37"/>
      <c r="S36" s="11" t="s">
        <v>7</v>
      </c>
      <c r="T36" s="38"/>
      <c r="U36" s="37"/>
      <c r="V36" s="11" t="s">
        <v>7</v>
      </c>
      <c r="W36" s="38"/>
      <c r="X36" s="12">
        <f t="shared" si="61"/>
        <v>0</v>
      </c>
      <c r="Y36" s="13" t="s">
        <v>7</v>
      </c>
      <c r="Z36" s="14">
        <f t="shared" si="62"/>
        <v>0</v>
      </c>
      <c r="AB36" s="4">
        <f t="shared" si="21"/>
        <v>0</v>
      </c>
      <c r="AC36" s="4">
        <f t="shared" si="43"/>
        <v>0</v>
      </c>
      <c r="AD36" s="4">
        <f t="shared" si="44"/>
        <v>0</v>
      </c>
      <c r="AE36" s="4">
        <f t="shared" si="45"/>
        <v>0</v>
      </c>
      <c r="AF36" s="4">
        <f t="shared" si="46"/>
        <v>0</v>
      </c>
      <c r="AG36" s="4">
        <f t="shared" si="47"/>
        <v>0</v>
      </c>
      <c r="AH36" s="4">
        <f t="shared" si="48"/>
        <v>0</v>
      </c>
      <c r="AI36" s="4">
        <f t="shared" si="49"/>
        <v>0</v>
      </c>
      <c r="AJ36" s="4">
        <f t="shared" si="50"/>
        <v>0</v>
      </c>
      <c r="AK36" s="4">
        <f t="shared" si="51"/>
        <v>0</v>
      </c>
      <c r="AM36" s="4">
        <f t="shared" si="52"/>
        <v>0</v>
      </c>
      <c r="AN36" s="4">
        <f t="shared" si="53"/>
        <v>0</v>
      </c>
      <c r="AO36" s="4">
        <f t="shared" si="54"/>
        <v>0</v>
      </c>
      <c r="AP36" s="4">
        <f t="shared" si="55"/>
        <v>0</v>
      </c>
      <c r="AQ36" s="4">
        <f t="shared" si="56"/>
        <v>0</v>
      </c>
      <c r="AR36" s="4">
        <f t="shared" si="57"/>
        <v>0</v>
      </c>
      <c r="AS36" s="4">
        <f t="shared" si="58"/>
        <v>0</v>
      </c>
      <c r="AT36" s="4">
        <f t="shared" si="59"/>
        <v>0</v>
      </c>
      <c r="AU36" s="4">
        <f t="shared" si="60"/>
        <v>0</v>
      </c>
    </row>
    <row r="37" spans="2:65" x14ac:dyDescent="0.25">
      <c r="B37" s="17">
        <v>45813</v>
      </c>
      <c r="C37" s="21">
        <v>0.8125</v>
      </c>
      <c r="D37" s="29" t="s">
        <v>54</v>
      </c>
      <c r="E37" s="37"/>
      <c r="F37" s="11" t="s">
        <v>7</v>
      </c>
      <c r="G37" s="38"/>
      <c r="H37" s="25" t="s">
        <v>41</v>
      </c>
      <c r="I37" s="37"/>
      <c r="J37" s="11" t="s">
        <v>7</v>
      </c>
      <c r="K37" s="38"/>
      <c r="L37" s="37"/>
      <c r="M37" s="11" t="s">
        <v>7</v>
      </c>
      <c r="N37" s="38"/>
      <c r="O37" s="37"/>
      <c r="P37" s="11" t="s">
        <v>7</v>
      </c>
      <c r="Q37" s="38"/>
      <c r="R37" s="37"/>
      <c r="S37" s="11" t="s">
        <v>7</v>
      </c>
      <c r="T37" s="38"/>
      <c r="U37" s="37"/>
      <c r="V37" s="11" t="s">
        <v>7</v>
      </c>
      <c r="W37" s="38"/>
      <c r="X37" s="12">
        <f t="shared" si="61"/>
        <v>0</v>
      </c>
      <c r="Y37" s="13" t="s">
        <v>7</v>
      </c>
      <c r="Z37" s="14">
        <f t="shared" si="62"/>
        <v>0</v>
      </c>
      <c r="AB37" s="4">
        <f t="shared" si="21"/>
        <v>0</v>
      </c>
      <c r="AC37" s="4">
        <f t="shared" si="43"/>
        <v>0</v>
      </c>
      <c r="AD37" s="4">
        <f t="shared" si="44"/>
        <v>0</v>
      </c>
      <c r="AE37" s="4">
        <f t="shared" si="45"/>
        <v>0</v>
      </c>
      <c r="AF37" s="4">
        <f t="shared" si="46"/>
        <v>0</v>
      </c>
      <c r="AG37" s="4">
        <f t="shared" si="47"/>
        <v>0</v>
      </c>
      <c r="AH37" s="4">
        <f t="shared" si="48"/>
        <v>0</v>
      </c>
      <c r="AI37" s="4">
        <f t="shared" si="49"/>
        <v>0</v>
      </c>
      <c r="AJ37" s="4">
        <f t="shared" si="50"/>
        <v>0</v>
      </c>
      <c r="AK37" s="4">
        <f t="shared" si="51"/>
        <v>0</v>
      </c>
      <c r="AM37" s="4">
        <f t="shared" si="52"/>
        <v>0</v>
      </c>
      <c r="AN37" s="4">
        <f t="shared" si="53"/>
        <v>0</v>
      </c>
      <c r="AO37" s="4">
        <f t="shared" si="54"/>
        <v>0</v>
      </c>
      <c r="AP37" s="4">
        <f t="shared" si="55"/>
        <v>0</v>
      </c>
      <c r="AQ37" s="4">
        <f t="shared" si="56"/>
        <v>0</v>
      </c>
      <c r="AR37" s="4">
        <f t="shared" si="57"/>
        <v>0</v>
      </c>
      <c r="AS37" s="4">
        <f t="shared" si="58"/>
        <v>0</v>
      </c>
      <c r="AT37" s="4">
        <f t="shared" si="59"/>
        <v>0</v>
      </c>
      <c r="AU37" s="4">
        <f t="shared" si="60"/>
        <v>0</v>
      </c>
    </row>
    <row r="38" spans="2:65" x14ac:dyDescent="0.25">
      <c r="B38" s="17">
        <v>45814</v>
      </c>
      <c r="C38" s="21">
        <v>0.66666666666666663</v>
      </c>
      <c r="D38" s="29" t="s">
        <v>42</v>
      </c>
      <c r="E38" s="37"/>
      <c r="F38" s="11" t="s">
        <v>7</v>
      </c>
      <c r="G38" s="38"/>
      <c r="H38" s="25" t="s">
        <v>49</v>
      </c>
      <c r="I38" s="37"/>
      <c r="J38" s="11" t="s">
        <v>7</v>
      </c>
      <c r="K38" s="38"/>
      <c r="L38" s="37"/>
      <c r="M38" s="11" t="s">
        <v>7</v>
      </c>
      <c r="N38" s="38"/>
      <c r="O38" s="37"/>
      <c r="P38" s="11" t="s">
        <v>7</v>
      </c>
      <c r="Q38" s="38"/>
      <c r="R38" s="37"/>
      <c r="S38" s="11" t="s">
        <v>7</v>
      </c>
      <c r="T38" s="38"/>
      <c r="U38" s="37"/>
      <c r="V38" s="11" t="s">
        <v>7</v>
      </c>
      <c r="W38" s="38"/>
      <c r="X38" s="12">
        <f t="shared" si="61"/>
        <v>0</v>
      </c>
      <c r="Y38" s="13" t="s">
        <v>7</v>
      </c>
      <c r="Z38" s="14">
        <f t="shared" si="62"/>
        <v>0</v>
      </c>
      <c r="AB38" s="4">
        <f t="shared" si="21"/>
        <v>0</v>
      </c>
      <c r="AC38" s="4">
        <f t="shared" si="43"/>
        <v>0</v>
      </c>
      <c r="AD38" s="4">
        <f t="shared" si="44"/>
        <v>0</v>
      </c>
      <c r="AE38" s="4">
        <f t="shared" si="45"/>
        <v>0</v>
      </c>
      <c r="AF38" s="4">
        <f t="shared" si="46"/>
        <v>0</v>
      </c>
      <c r="AG38" s="4">
        <f t="shared" si="47"/>
        <v>0</v>
      </c>
      <c r="AH38" s="4">
        <f t="shared" si="48"/>
        <v>0</v>
      </c>
      <c r="AI38" s="4">
        <f t="shared" si="49"/>
        <v>0</v>
      </c>
      <c r="AJ38" s="4">
        <f t="shared" si="50"/>
        <v>0</v>
      </c>
      <c r="AK38" s="4">
        <f t="shared" si="51"/>
        <v>0</v>
      </c>
      <c r="AM38" s="4">
        <f t="shared" si="52"/>
        <v>0</v>
      </c>
      <c r="AN38" s="4">
        <f t="shared" si="53"/>
        <v>0</v>
      </c>
      <c r="AO38" s="4">
        <f t="shared" si="54"/>
        <v>0</v>
      </c>
      <c r="AP38" s="4">
        <f t="shared" si="55"/>
        <v>0</v>
      </c>
      <c r="AQ38" s="4">
        <f t="shared" si="56"/>
        <v>0</v>
      </c>
      <c r="AR38" s="4">
        <f t="shared" si="57"/>
        <v>0</v>
      </c>
      <c r="AS38" s="4">
        <f t="shared" si="58"/>
        <v>0</v>
      </c>
      <c r="AT38" s="4">
        <f t="shared" si="59"/>
        <v>0</v>
      </c>
      <c r="AU38" s="4">
        <f t="shared" si="60"/>
        <v>0</v>
      </c>
    </row>
    <row r="39" spans="2:65" x14ac:dyDescent="0.25">
      <c r="B39" s="17">
        <v>45814</v>
      </c>
      <c r="C39" s="21">
        <v>0.8125</v>
      </c>
      <c r="D39" s="29" t="s">
        <v>31</v>
      </c>
      <c r="E39" s="37"/>
      <c r="F39" s="11" t="s">
        <v>7</v>
      </c>
      <c r="G39" s="38"/>
      <c r="H39" s="25" t="s">
        <v>59</v>
      </c>
      <c r="I39" s="37"/>
      <c r="J39" s="11" t="s">
        <v>7</v>
      </c>
      <c r="K39" s="38"/>
      <c r="L39" s="37"/>
      <c r="M39" s="11" t="s">
        <v>7</v>
      </c>
      <c r="N39" s="38"/>
      <c r="O39" s="37"/>
      <c r="P39" s="11" t="s">
        <v>7</v>
      </c>
      <c r="Q39" s="38"/>
      <c r="R39" s="37"/>
      <c r="S39" s="11" t="s">
        <v>7</v>
      </c>
      <c r="T39" s="38"/>
      <c r="U39" s="37"/>
      <c r="V39" s="11" t="s">
        <v>7</v>
      </c>
      <c r="W39" s="38"/>
      <c r="X39" s="12">
        <f t="shared" si="61"/>
        <v>0</v>
      </c>
      <c r="Y39" s="13" t="s">
        <v>7</v>
      </c>
      <c r="Z39" s="14">
        <f t="shared" si="62"/>
        <v>0</v>
      </c>
      <c r="AB39" s="4">
        <f t="shared" si="21"/>
        <v>0</v>
      </c>
      <c r="AC39" s="4">
        <f t="shared" si="43"/>
        <v>0</v>
      </c>
      <c r="AD39" s="4">
        <f t="shared" si="44"/>
        <v>0</v>
      </c>
      <c r="AE39" s="4">
        <f t="shared" si="45"/>
        <v>0</v>
      </c>
      <c r="AF39" s="4">
        <f t="shared" si="46"/>
        <v>0</v>
      </c>
      <c r="AG39" s="4">
        <f t="shared" si="47"/>
        <v>0</v>
      </c>
      <c r="AH39" s="4">
        <f t="shared" si="48"/>
        <v>0</v>
      </c>
      <c r="AI39" s="4">
        <f t="shared" si="49"/>
        <v>0</v>
      </c>
      <c r="AJ39" s="4">
        <f t="shared" si="50"/>
        <v>0</v>
      </c>
      <c r="AK39" s="4">
        <f t="shared" si="51"/>
        <v>0</v>
      </c>
      <c r="AM39" s="4">
        <f t="shared" si="52"/>
        <v>0</v>
      </c>
      <c r="AN39" s="4">
        <f t="shared" si="53"/>
        <v>0</v>
      </c>
      <c r="AO39" s="4">
        <f t="shared" si="54"/>
        <v>0</v>
      </c>
      <c r="AP39" s="4">
        <f t="shared" si="55"/>
        <v>0</v>
      </c>
      <c r="AQ39" s="4">
        <f t="shared" si="56"/>
        <v>0</v>
      </c>
      <c r="AR39" s="4">
        <f t="shared" si="57"/>
        <v>0</v>
      </c>
      <c r="AS39" s="4">
        <f t="shared" si="58"/>
        <v>0</v>
      </c>
      <c r="AT39" s="4">
        <f t="shared" si="59"/>
        <v>0</v>
      </c>
      <c r="AU39" s="4">
        <f t="shared" si="60"/>
        <v>0</v>
      </c>
    </row>
    <row r="40" spans="2:65" x14ac:dyDescent="0.25">
      <c r="B40" s="17">
        <v>45815</v>
      </c>
      <c r="C40" s="21">
        <v>0.66666666666666663</v>
      </c>
      <c r="D40" s="29" t="s">
        <v>31</v>
      </c>
      <c r="E40" s="37"/>
      <c r="F40" s="11" t="s">
        <v>7</v>
      </c>
      <c r="G40" s="38"/>
      <c r="H40" s="25" t="s">
        <v>41</v>
      </c>
      <c r="I40" s="37"/>
      <c r="J40" s="11" t="s">
        <v>7</v>
      </c>
      <c r="K40" s="38"/>
      <c r="L40" s="37"/>
      <c r="M40" s="11" t="s">
        <v>7</v>
      </c>
      <c r="N40" s="38"/>
      <c r="O40" s="37"/>
      <c r="P40" s="11" t="s">
        <v>7</v>
      </c>
      <c r="Q40" s="38"/>
      <c r="R40" s="37"/>
      <c r="S40" s="11" t="s">
        <v>7</v>
      </c>
      <c r="T40" s="38"/>
      <c r="U40" s="37"/>
      <c r="V40" s="11" t="s">
        <v>7</v>
      </c>
      <c r="W40" s="38"/>
      <c r="X40" s="12">
        <f t="shared" si="61"/>
        <v>0</v>
      </c>
      <c r="Y40" s="13" t="s">
        <v>7</v>
      </c>
      <c r="Z40" s="14">
        <f t="shared" si="62"/>
        <v>0</v>
      </c>
      <c r="AB40" s="4">
        <f t="shared" si="21"/>
        <v>0</v>
      </c>
      <c r="AC40" s="4">
        <f t="shared" si="43"/>
        <v>0</v>
      </c>
      <c r="AD40" s="4">
        <f t="shared" si="44"/>
        <v>0</v>
      </c>
      <c r="AE40" s="4">
        <f t="shared" si="45"/>
        <v>0</v>
      </c>
      <c r="AF40" s="4">
        <f t="shared" si="46"/>
        <v>0</v>
      </c>
      <c r="AG40" s="4">
        <f t="shared" si="47"/>
        <v>0</v>
      </c>
      <c r="AH40" s="4">
        <f t="shared" si="48"/>
        <v>0</v>
      </c>
      <c r="AI40" s="4">
        <f t="shared" si="49"/>
        <v>0</v>
      </c>
      <c r="AJ40" s="4">
        <f t="shared" si="50"/>
        <v>0</v>
      </c>
      <c r="AK40" s="4">
        <f t="shared" si="51"/>
        <v>0</v>
      </c>
      <c r="AM40" s="4">
        <f t="shared" si="52"/>
        <v>0</v>
      </c>
      <c r="AN40" s="4">
        <f t="shared" si="53"/>
        <v>0</v>
      </c>
      <c r="AO40" s="4">
        <f t="shared" si="54"/>
        <v>0</v>
      </c>
      <c r="AP40" s="4">
        <f t="shared" si="55"/>
        <v>0</v>
      </c>
      <c r="AQ40" s="4">
        <f t="shared" si="56"/>
        <v>0</v>
      </c>
      <c r="AR40" s="4">
        <f t="shared" si="57"/>
        <v>0</v>
      </c>
      <c r="AS40" s="4">
        <f t="shared" si="58"/>
        <v>0</v>
      </c>
      <c r="AT40" s="4">
        <f t="shared" si="59"/>
        <v>0</v>
      </c>
      <c r="AU40" s="4">
        <f t="shared" si="60"/>
        <v>0</v>
      </c>
    </row>
    <row r="41" spans="2:65" x14ac:dyDescent="0.25">
      <c r="B41" s="17">
        <v>45815</v>
      </c>
      <c r="C41" s="21">
        <v>0.8125</v>
      </c>
      <c r="D41" s="29" t="s">
        <v>54</v>
      </c>
      <c r="E41" s="37"/>
      <c r="F41" s="11" t="s">
        <v>7</v>
      </c>
      <c r="G41" s="38"/>
      <c r="H41" s="25" t="s">
        <v>42</v>
      </c>
      <c r="I41" s="37"/>
      <c r="J41" s="11" t="s">
        <v>7</v>
      </c>
      <c r="K41" s="38"/>
      <c r="L41" s="37"/>
      <c r="M41" s="11" t="s">
        <v>7</v>
      </c>
      <c r="N41" s="38"/>
      <c r="O41" s="37"/>
      <c r="P41" s="11" t="s">
        <v>7</v>
      </c>
      <c r="Q41" s="38"/>
      <c r="R41" s="37"/>
      <c r="S41" s="11" t="s">
        <v>7</v>
      </c>
      <c r="T41" s="38"/>
      <c r="U41" s="37"/>
      <c r="V41" s="11" t="s">
        <v>7</v>
      </c>
      <c r="W41" s="38"/>
      <c r="X41" s="12">
        <f t="shared" si="61"/>
        <v>0</v>
      </c>
      <c r="Y41" s="13" t="s">
        <v>7</v>
      </c>
      <c r="Z41" s="14">
        <f t="shared" si="62"/>
        <v>0</v>
      </c>
      <c r="AB41" s="4">
        <f t="shared" si="21"/>
        <v>0</v>
      </c>
      <c r="AC41" s="4">
        <f t="shared" si="43"/>
        <v>0</v>
      </c>
      <c r="AD41" s="4">
        <f t="shared" si="44"/>
        <v>0</v>
      </c>
      <c r="AE41" s="4">
        <f t="shared" si="45"/>
        <v>0</v>
      </c>
      <c r="AF41" s="4">
        <f t="shared" si="46"/>
        <v>0</v>
      </c>
      <c r="AG41" s="4">
        <f t="shared" si="47"/>
        <v>0</v>
      </c>
      <c r="AH41" s="4">
        <f t="shared" si="48"/>
        <v>0</v>
      </c>
      <c r="AI41" s="4">
        <f t="shared" si="49"/>
        <v>0</v>
      </c>
      <c r="AJ41" s="4">
        <f t="shared" si="50"/>
        <v>0</v>
      </c>
      <c r="AK41" s="4">
        <f t="shared" si="51"/>
        <v>0</v>
      </c>
      <c r="AM41" s="4">
        <f t="shared" si="52"/>
        <v>0</v>
      </c>
      <c r="AN41" s="4">
        <f t="shared" si="53"/>
        <v>0</v>
      </c>
      <c r="AO41" s="4">
        <f t="shared" si="54"/>
        <v>0</v>
      </c>
      <c r="AP41" s="4">
        <f t="shared" si="55"/>
        <v>0</v>
      </c>
      <c r="AQ41" s="4">
        <f t="shared" si="56"/>
        <v>0</v>
      </c>
      <c r="AR41" s="4">
        <f t="shared" si="57"/>
        <v>0</v>
      </c>
      <c r="AS41" s="4">
        <f t="shared" si="58"/>
        <v>0</v>
      </c>
      <c r="AT41" s="4">
        <f t="shared" si="59"/>
        <v>0</v>
      </c>
      <c r="AU41" s="4">
        <f t="shared" si="60"/>
        <v>0</v>
      </c>
    </row>
    <row r="42" spans="2:65" x14ac:dyDescent="0.25">
      <c r="B42" s="17">
        <v>45816</v>
      </c>
      <c r="C42" s="21">
        <v>0.52083333333333337</v>
      </c>
      <c r="D42" s="29" t="s">
        <v>49</v>
      </c>
      <c r="E42" s="37"/>
      <c r="F42" s="11" t="s">
        <v>7</v>
      </c>
      <c r="G42" s="38"/>
      <c r="H42" s="25" t="s">
        <v>41</v>
      </c>
      <c r="I42" s="37"/>
      <c r="J42" s="11" t="s">
        <v>7</v>
      </c>
      <c r="K42" s="38"/>
      <c r="L42" s="37"/>
      <c r="M42" s="11" t="s">
        <v>7</v>
      </c>
      <c r="N42" s="38"/>
      <c r="O42" s="37"/>
      <c r="P42" s="11" t="s">
        <v>7</v>
      </c>
      <c r="Q42" s="38"/>
      <c r="R42" s="37"/>
      <c r="S42" s="11" t="s">
        <v>7</v>
      </c>
      <c r="T42" s="38"/>
      <c r="U42" s="37"/>
      <c r="V42" s="11" t="s">
        <v>7</v>
      </c>
      <c r="W42" s="38"/>
      <c r="X42" s="12">
        <f t="shared" si="61"/>
        <v>0</v>
      </c>
      <c r="Y42" s="13" t="s">
        <v>7</v>
      </c>
      <c r="Z42" s="14">
        <f t="shared" si="62"/>
        <v>0</v>
      </c>
      <c r="AB42" s="4">
        <f t="shared" si="21"/>
        <v>0</v>
      </c>
      <c r="AC42" s="4">
        <f t="shared" si="43"/>
        <v>0</v>
      </c>
      <c r="AD42" s="4">
        <f t="shared" si="44"/>
        <v>0</v>
      </c>
      <c r="AE42" s="4">
        <f t="shared" si="45"/>
        <v>0</v>
      </c>
      <c r="AF42" s="4">
        <f t="shared" si="46"/>
        <v>0</v>
      </c>
      <c r="AG42" s="4">
        <f t="shared" si="47"/>
        <v>0</v>
      </c>
      <c r="AH42" s="4">
        <f t="shared" si="48"/>
        <v>0</v>
      </c>
      <c r="AI42" s="4">
        <f t="shared" si="49"/>
        <v>0</v>
      </c>
      <c r="AJ42" s="4">
        <f t="shared" si="50"/>
        <v>0</v>
      </c>
      <c r="AK42" s="4">
        <f t="shared" si="51"/>
        <v>0</v>
      </c>
      <c r="AM42" s="4">
        <f t="shared" si="52"/>
        <v>0</v>
      </c>
      <c r="AN42" s="4">
        <f t="shared" si="53"/>
        <v>0</v>
      </c>
      <c r="AO42" s="4">
        <f t="shared" si="54"/>
        <v>0</v>
      </c>
      <c r="AP42" s="4">
        <f t="shared" si="55"/>
        <v>0</v>
      </c>
      <c r="AQ42" s="4">
        <f t="shared" si="56"/>
        <v>0</v>
      </c>
      <c r="AR42" s="4">
        <f t="shared" si="57"/>
        <v>0</v>
      </c>
      <c r="AS42" s="4">
        <f t="shared" si="58"/>
        <v>0</v>
      </c>
      <c r="AT42" s="4">
        <f t="shared" si="59"/>
        <v>0</v>
      </c>
      <c r="AU42" s="4">
        <f t="shared" si="60"/>
        <v>0</v>
      </c>
    </row>
    <row r="43" spans="2:65" x14ac:dyDescent="0.25">
      <c r="B43" s="17">
        <v>45816</v>
      </c>
      <c r="C43" s="21">
        <v>0.66666666666666663</v>
      </c>
      <c r="D43" s="29" t="s">
        <v>42</v>
      </c>
      <c r="E43" s="37"/>
      <c r="F43" s="11" t="s">
        <v>7</v>
      </c>
      <c r="G43" s="38"/>
      <c r="H43" s="25" t="s">
        <v>59</v>
      </c>
      <c r="I43" s="37"/>
      <c r="J43" s="11" t="s">
        <v>7</v>
      </c>
      <c r="K43" s="38"/>
      <c r="L43" s="37"/>
      <c r="M43" s="11" t="s">
        <v>7</v>
      </c>
      <c r="N43" s="38"/>
      <c r="O43" s="37"/>
      <c r="P43" s="11" t="s">
        <v>7</v>
      </c>
      <c r="Q43" s="38"/>
      <c r="R43" s="37"/>
      <c r="S43" s="11" t="s">
        <v>7</v>
      </c>
      <c r="T43" s="38"/>
      <c r="U43" s="37"/>
      <c r="V43" s="11" t="s">
        <v>7</v>
      </c>
      <c r="W43" s="38"/>
      <c r="X43" s="12">
        <f t="shared" si="61"/>
        <v>0</v>
      </c>
      <c r="Y43" s="13" t="s">
        <v>7</v>
      </c>
      <c r="Z43" s="14">
        <f t="shared" si="62"/>
        <v>0</v>
      </c>
      <c r="AB43" s="4">
        <f t="shared" si="21"/>
        <v>0</v>
      </c>
      <c r="AC43" s="4">
        <f t="shared" si="43"/>
        <v>0</v>
      </c>
      <c r="AD43" s="4">
        <f t="shared" si="44"/>
        <v>0</v>
      </c>
      <c r="AE43" s="4">
        <f t="shared" si="45"/>
        <v>0</v>
      </c>
      <c r="AF43" s="4">
        <f t="shared" si="46"/>
        <v>0</v>
      </c>
      <c r="AG43" s="4">
        <f t="shared" si="47"/>
        <v>0</v>
      </c>
      <c r="AH43" s="4">
        <f t="shared" si="48"/>
        <v>0</v>
      </c>
      <c r="AI43" s="4">
        <f t="shared" si="49"/>
        <v>0</v>
      </c>
      <c r="AJ43" s="4">
        <f t="shared" si="50"/>
        <v>0</v>
      </c>
      <c r="AK43" s="4">
        <f t="shared" si="51"/>
        <v>0</v>
      </c>
      <c r="AM43" s="4">
        <f t="shared" si="52"/>
        <v>0</v>
      </c>
      <c r="AN43" s="4">
        <f t="shared" si="53"/>
        <v>0</v>
      </c>
      <c r="AO43" s="4">
        <f t="shared" si="54"/>
        <v>0</v>
      </c>
      <c r="AP43" s="4">
        <f t="shared" si="55"/>
        <v>0</v>
      </c>
      <c r="AQ43" s="4">
        <f t="shared" si="56"/>
        <v>0</v>
      </c>
      <c r="AR43" s="4">
        <f t="shared" si="57"/>
        <v>0</v>
      </c>
      <c r="AS43" s="4">
        <f t="shared" si="58"/>
        <v>0</v>
      </c>
      <c r="AT43" s="4">
        <f t="shared" si="59"/>
        <v>0</v>
      </c>
      <c r="AU43" s="4">
        <f t="shared" si="60"/>
        <v>0</v>
      </c>
    </row>
    <row r="44" spans="2:65" x14ac:dyDescent="0.25">
      <c r="B44" s="17">
        <v>45816</v>
      </c>
      <c r="C44" s="21">
        <v>0.8125</v>
      </c>
      <c r="D44" s="29" t="s">
        <v>54</v>
      </c>
      <c r="E44" s="37"/>
      <c r="F44" s="11" t="s">
        <v>7</v>
      </c>
      <c r="G44" s="38"/>
      <c r="H44" s="25" t="s">
        <v>31</v>
      </c>
      <c r="I44" s="37"/>
      <c r="J44" s="11" t="s">
        <v>7</v>
      </c>
      <c r="K44" s="38"/>
      <c r="L44" s="37"/>
      <c r="M44" s="11" t="s">
        <v>7</v>
      </c>
      <c r="N44" s="38"/>
      <c r="O44" s="37"/>
      <c r="P44" s="11" t="s">
        <v>7</v>
      </c>
      <c r="Q44" s="38"/>
      <c r="R44" s="37"/>
      <c r="S44" s="11" t="s">
        <v>7</v>
      </c>
      <c r="T44" s="38"/>
      <c r="U44" s="37"/>
      <c r="V44" s="11" t="s">
        <v>7</v>
      </c>
      <c r="W44" s="38"/>
      <c r="X44" s="12">
        <f t="shared" si="61"/>
        <v>0</v>
      </c>
      <c r="Y44" s="13" t="s">
        <v>7</v>
      </c>
      <c r="Z44" s="14">
        <f t="shared" si="62"/>
        <v>0</v>
      </c>
      <c r="AB44" s="4">
        <f t="shared" si="21"/>
        <v>0</v>
      </c>
      <c r="AC44" s="4">
        <f t="shared" si="43"/>
        <v>0</v>
      </c>
      <c r="AD44" s="4">
        <f t="shared" si="44"/>
        <v>0</v>
      </c>
      <c r="AE44" s="4">
        <f t="shared" si="45"/>
        <v>0</v>
      </c>
      <c r="AF44" s="4">
        <f t="shared" si="46"/>
        <v>0</v>
      </c>
      <c r="AG44" s="4">
        <f t="shared" si="47"/>
        <v>0</v>
      </c>
      <c r="AH44" s="4">
        <f t="shared" si="48"/>
        <v>0</v>
      </c>
      <c r="AI44" s="4">
        <f t="shared" si="49"/>
        <v>0</v>
      </c>
      <c r="AJ44" s="4">
        <f t="shared" si="50"/>
        <v>0</v>
      </c>
      <c r="AK44" s="4">
        <f t="shared" si="51"/>
        <v>0</v>
      </c>
      <c r="AM44" s="4">
        <f t="shared" si="52"/>
        <v>0</v>
      </c>
      <c r="AN44" s="4">
        <f t="shared" si="53"/>
        <v>0</v>
      </c>
      <c r="AO44" s="4">
        <f t="shared" si="54"/>
        <v>0</v>
      </c>
      <c r="AP44" s="4">
        <f t="shared" si="55"/>
        <v>0</v>
      </c>
      <c r="AQ44" s="4">
        <f t="shared" si="56"/>
        <v>0</v>
      </c>
      <c r="AR44" s="4">
        <f t="shared" si="57"/>
        <v>0</v>
      </c>
      <c r="AS44" s="4">
        <f t="shared" si="58"/>
        <v>0</v>
      </c>
      <c r="AT44" s="4">
        <f t="shared" si="59"/>
        <v>0</v>
      </c>
      <c r="AU44" s="4">
        <f t="shared" si="60"/>
        <v>0</v>
      </c>
    </row>
    <row r="46" spans="2:65" ht="15" x14ac:dyDescent="0.25">
      <c r="B46" s="70" t="s">
        <v>69</v>
      </c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V46" s="63" t="s">
        <v>80</v>
      </c>
      <c r="AW46" s="64"/>
      <c r="AX46" s="65"/>
      <c r="AY46" s="63" t="s">
        <v>15</v>
      </c>
      <c r="AZ46" s="64"/>
      <c r="BA46" s="65"/>
      <c r="BB46" s="63" t="s">
        <v>61</v>
      </c>
      <c r="BC46" s="64"/>
      <c r="BD46" s="64"/>
      <c r="BE46" s="64"/>
      <c r="BF46" s="64"/>
      <c r="BG46" s="65"/>
      <c r="BH46" s="63" t="s">
        <v>62</v>
      </c>
      <c r="BI46" s="64"/>
      <c r="BJ46" s="65"/>
      <c r="BK46" s="63" t="s">
        <v>63</v>
      </c>
      <c r="BL46" s="64"/>
      <c r="BM46" s="65"/>
    </row>
    <row r="47" spans="2:65" ht="14.25" x14ac:dyDescent="0.25">
      <c r="B47" s="66" t="s">
        <v>14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V47" s="36" t="s">
        <v>44</v>
      </c>
      <c r="AW47" s="36" t="s">
        <v>45</v>
      </c>
      <c r="AX47" s="36" t="s">
        <v>46</v>
      </c>
      <c r="AY47" s="36" t="s">
        <v>77</v>
      </c>
      <c r="AZ47" s="36" t="s">
        <v>21</v>
      </c>
      <c r="BA47" s="36" t="s">
        <v>26</v>
      </c>
      <c r="BB47" s="36" t="s">
        <v>16</v>
      </c>
      <c r="BC47" s="36" t="s">
        <v>18</v>
      </c>
      <c r="BD47" s="36" t="s">
        <v>17</v>
      </c>
      <c r="BE47" s="36" t="s">
        <v>27</v>
      </c>
      <c r="BF47" s="36" t="s">
        <v>28</v>
      </c>
      <c r="BG47" s="36" t="s">
        <v>29</v>
      </c>
      <c r="BH47" s="36" t="s">
        <v>21</v>
      </c>
      <c r="BI47" s="36" t="s">
        <v>78</v>
      </c>
      <c r="BJ47" s="36" t="s">
        <v>79</v>
      </c>
      <c r="BK47" s="36" t="s">
        <v>21</v>
      </c>
      <c r="BL47" s="36" t="s">
        <v>78</v>
      </c>
      <c r="BM47" s="36" t="s">
        <v>79</v>
      </c>
    </row>
    <row r="48" spans="2:65" x14ac:dyDescent="0.25">
      <c r="B48" s="16" t="s">
        <v>2</v>
      </c>
      <c r="C48" s="20" t="s">
        <v>3</v>
      </c>
      <c r="D48" s="28"/>
      <c r="E48" s="67" t="s">
        <v>4</v>
      </c>
      <c r="F48" s="67"/>
      <c r="G48" s="67"/>
      <c r="H48" s="24"/>
      <c r="I48" s="68" t="s">
        <v>5</v>
      </c>
      <c r="J48" s="68"/>
      <c r="K48" s="68"/>
      <c r="L48" s="68" t="s">
        <v>6</v>
      </c>
      <c r="M48" s="68"/>
      <c r="N48" s="68"/>
      <c r="O48" s="68" t="s">
        <v>8</v>
      </c>
      <c r="P48" s="68"/>
      <c r="Q48" s="68"/>
      <c r="R48" s="68" t="s">
        <v>9</v>
      </c>
      <c r="S48" s="68"/>
      <c r="T48" s="68"/>
      <c r="U48" s="68" t="s">
        <v>10</v>
      </c>
      <c r="V48" s="68"/>
      <c r="W48" s="68"/>
      <c r="X48" s="68" t="s">
        <v>11</v>
      </c>
      <c r="Y48" s="68"/>
      <c r="Z48" s="68"/>
      <c r="AB48" s="4" t="s">
        <v>39</v>
      </c>
      <c r="AC48" s="4" t="s">
        <v>24</v>
      </c>
      <c r="AD48" s="4" t="s">
        <v>21</v>
      </c>
      <c r="AE48" s="4" t="s">
        <v>19</v>
      </c>
      <c r="AF48" s="4" t="s">
        <v>20</v>
      </c>
      <c r="AG48" s="4" t="s">
        <v>16</v>
      </c>
      <c r="AH48" s="8" t="s">
        <v>18</v>
      </c>
      <c r="AI48" s="8" t="s">
        <v>17</v>
      </c>
      <c r="AJ48" s="4" t="s">
        <v>22</v>
      </c>
      <c r="AK48" s="4" t="s">
        <v>23</v>
      </c>
      <c r="AM48" s="4" t="s">
        <v>25</v>
      </c>
      <c r="AN48" s="4" t="s">
        <v>26</v>
      </c>
      <c r="AO48" s="4" t="s">
        <v>19</v>
      </c>
      <c r="AP48" s="4" t="s">
        <v>20</v>
      </c>
      <c r="AQ48" s="8" t="s">
        <v>27</v>
      </c>
      <c r="AR48" s="8" t="s">
        <v>28</v>
      </c>
      <c r="AS48" s="8" t="s">
        <v>29</v>
      </c>
      <c r="AT48" s="4" t="s">
        <v>22</v>
      </c>
      <c r="AU48" s="4" t="s">
        <v>23</v>
      </c>
      <c r="AV48" s="35">
        <v>1</v>
      </c>
      <c r="AW48" s="34" t="str">
        <f>VLOOKUP($AV48,Dummy!$A:$R,2,FALSE)</f>
        <v>Alemanha</v>
      </c>
      <c r="AX48" s="32">
        <f>VLOOKUP($AV48,Dummy!$A:$R,3,FALSE)</f>
        <v>0</v>
      </c>
      <c r="AY48" s="32">
        <f>VLOOKUP($AV48,Dummy!$A:$R,4,FALSE)</f>
        <v>0</v>
      </c>
      <c r="AZ48" s="32">
        <f>VLOOKUP($AV48,Dummy!$A:$R,5,FALSE)</f>
        <v>0</v>
      </c>
      <c r="BA48" s="32">
        <f>VLOOKUP($AV48,Dummy!$A:$R,6,FALSE)</f>
        <v>0</v>
      </c>
      <c r="BB48" s="32">
        <f>VLOOKUP($AV48,Dummy!$A:$R,7,FALSE)</f>
        <v>0</v>
      </c>
      <c r="BC48" s="32">
        <f>VLOOKUP($AV48,Dummy!$A:$R,8,FALSE)</f>
        <v>0</v>
      </c>
      <c r="BD48" s="32">
        <f>VLOOKUP($AV48,Dummy!$A:$R,9,FALSE)</f>
        <v>0</v>
      </c>
      <c r="BE48" s="32">
        <f>VLOOKUP($AV48,Dummy!$A:$R,10,FALSE)</f>
        <v>0</v>
      </c>
      <c r="BF48" s="32">
        <f>VLOOKUP($AV48,Dummy!$A:$R,11,FALSE)</f>
        <v>0</v>
      </c>
      <c r="BG48" s="32">
        <f>VLOOKUP($AV48,Dummy!$A:$R,12,FALSE)</f>
        <v>0</v>
      </c>
      <c r="BH48" s="32">
        <f>VLOOKUP($AV48,Dummy!$A:$R,13,FALSE)</f>
        <v>0</v>
      </c>
      <c r="BI48" s="32">
        <f>VLOOKUP($AV48,Dummy!$A:$R,14,FALSE)</f>
        <v>0</v>
      </c>
      <c r="BJ48" s="33" t="str">
        <f>VLOOKUP($AV48,Dummy!$A:$R,15,FALSE)</f>
        <v>MAX</v>
      </c>
      <c r="BK48" s="32">
        <f>VLOOKUP($AV48,Dummy!$A:$R,16,FALSE)</f>
        <v>0</v>
      </c>
      <c r="BL48" s="32">
        <f>VLOOKUP($AV48,Dummy!$A:$R,17,FALSE)</f>
        <v>0</v>
      </c>
      <c r="BM48" s="33" t="str">
        <f>VLOOKUP($AV48,Dummy!$A:$R,18,FALSE)</f>
        <v>MAX</v>
      </c>
    </row>
    <row r="49" spans="2:65" x14ac:dyDescent="0.25">
      <c r="B49" s="17">
        <v>45826</v>
      </c>
      <c r="C49" s="21">
        <v>0.52083333333333337</v>
      </c>
      <c r="D49" s="29" t="s">
        <v>55</v>
      </c>
      <c r="E49" s="37"/>
      <c r="F49" s="11" t="s">
        <v>7</v>
      </c>
      <c r="G49" s="38"/>
      <c r="H49" s="25" t="s">
        <v>52</v>
      </c>
      <c r="I49" s="37"/>
      <c r="J49" s="11" t="s">
        <v>7</v>
      </c>
      <c r="K49" s="38"/>
      <c r="L49" s="37"/>
      <c r="M49" s="11" t="s">
        <v>7</v>
      </c>
      <c r="N49" s="38"/>
      <c r="O49" s="37"/>
      <c r="P49" s="11" t="s">
        <v>7</v>
      </c>
      <c r="Q49" s="38"/>
      <c r="R49" s="37"/>
      <c r="S49" s="11" t="s">
        <v>7</v>
      </c>
      <c r="T49" s="38"/>
      <c r="U49" s="37"/>
      <c r="V49" s="11" t="s">
        <v>7</v>
      </c>
      <c r="W49" s="38"/>
      <c r="X49" s="12">
        <f>SUM(I49,L49,O49,R49,U49)</f>
        <v>0</v>
      </c>
      <c r="Y49" s="13" t="s">
        <v>7</v>
      </c>
      <c r="Z49" s="14">
        <f>SUM(K49,N49,Q49,T49,W49)</f>
        <v>0</v>
      </c>
      <c r="AB49" s="4">
        <f>AE49+AF49</f>
        <v>0</v>
      </c>
      <c r="AC49" s="4">
        <f>IF(OR(E49="",G49=""),0,IF(E49&gt;G49,D49,H49))</f>
        <v>0</v>
      </c>
      <c r="AD49" s="4">
        <f>IF(OR(E49="",G49=""),0,1)</f>
        <v>0</v>
      </c>
      <c r="AE49" s="4">
        <f>IF(OR(E49="",G49=""),0,IF(E49&gt;G49,E49,G49))</f>
        <v>0</v>
      </c>
      <c r="AF49" s="4">
        <f>IF(OR(E49="",G49=""),0,IF(E49&gt;G49,G49,E49))</f>
        <v>0</v>
      </c>
      <c r="AG49" s="4">
        <f>IF(AND(AE49=3,AF49=0),1,0)</f>
        <v>0</v>
      </c>
      <c r="AH49" s="4">
        <f>IF(AND(AE49=3,AF49=1),1,0)</f>
        <v>0</v>
      </c>
      <c r="AI49" s="4">
        <f>IF(AND(AE49=3,AF49=2),1,0)</f>
        <v>0</v>
      </c>
      <c r="AJ49" s="4">
        <f>IF(E49&gt;G49,SUM(I49,L49,O49,R49,U49,),SUM(K49,N49,Q49,T49,W49))</f>
        <v>0</v>
      </c>
      <c r="AK49" s="4">
        <f>IF(E49&gt;G49,SUM(K49,N49,Q49,T49,W49),SUM(I49,L49,O49,R49,U49))</f>
        <v>0</v>
      </c>
      <c r="AM49" s="4">
        <f>IF(OR(E49="",G49=""),0,IF(E49&lt;G49,D49,H49))</f>
        <v>0</v>
      </c>
      <c r="AN49" s="4">
        <f>IF(OR(E49="",G49=""),0,1)</f>
        <v>0</v>
      </c>
      <c r="AO49" s="4">
        <f>IF(OR(E49="",G49=""),0,IF(E49&lt;G49,E49,G49))</f>
        <v>0</v>
      </c>
      <c r="AP49" s="4">
        <f>IF(OR(E49="",G49=""),0,IF(E49&lt;G49,G49,E49))</f>
        <v>0</v>
      </c>
      <c r="AQ49" s="4">
        <f>IF(AND(AO49=2,AP49=3),1,0)</f>
        <v>0</v>
      </c>
      <c r="AR49" s="4">
        <f>IF(AND(AO49=1,AP49=3),1,0)</f>
        <v>0</v>
      </c>
      <c r="AS49" s="4">
        <f>IF(AND(AO49=0,AP49=3),1,0)</f>
        <v>0</v>
      </c>
      <c r="AT49" s="4">
        <f>IF(E49&lt;G49,SUM(I49,L49,O49,R49,U49,),SUM(K49,N49,Q49,T49,W49))</f>
        <v>0</v>
      </c>
      <c r="AU49" s="4">
        <f>IF(E49&lt;G49,SUM(K49,N49,Q49,T49,W49),SUM(I49,L49,O49,R49,U49))</f>
        <v>0</v>
      </c>
      <c r="AV49" s="35">
        <v>2</v>
      </c>
      <c r="AW49" s="34" t="str">
        <f>VLOOKUP($AV49,Dummy!$A:$R,2,FALSE)</f>
        <v>Bélgica</v>
      </c>
      <c r="AX49" s="32">
        <f>VLOOKUP($AV49,Dummy!$A:$R,3,FALSE)</f>
        <v>0</v>
      </c>
      <c r="AY49" s="32">
        <f>VLOOKUP($AV49,Dummy!$A:$R,4,FALSE)</f>
        <v>0</v>
      </c>
      <c r="AZ49" s="32">
        <f>VLOOKUP($AV49,Dummy!$A:$R,5,FALSE)</f>
        <v>0</v>
      </c>
      <c r="BA49" s="32">
        <f>VLOOKUP($AV49,Dummy!$A:$R,6,FALSE)</f>
        <v>0</v>
      </c>
      <c r="BB49" s="32">
        <f>VLOOKUP($AV49,Dummy!$A:$R,7,FALSE)</f>
        <v>0</v>
      </c>
      <c r="BC49" s="32">
        <f>VLOOKUP($AV49,Dummy!$A:$R,8,FALSE)</f>
        <v>0</v>
      </c>
      <c r="BD49" s="32">
        <f>VLOOKUP($AV49,Dummy!$A:$R,9,FALSE)</f>
        <v>0</v>
      </c>
      <c r="BE49" s="32">
        <f>VLOOKUP($AV49,Dummy!$A:$R,10,FALSE)</f>
        <v>0</v>
      </c>
      <c r="BF49" s="32">
        <f>VLOOKUP($AV49,Dummy!$A:$R,11,FALSE)</f>
        <v>0</v>
      </c>
      <c r="BG49" s="32">
        <f>VLOOKUP($AV49,Dummy!$A:$R,12,FALSE)</f>
        <v>0</v>
      </c>
      <c r="BH49" s="32">
        <f>VLOOKUP($AV49,Dummy!$A:$R,13,FALSE)</f>
        <v>0</v>
      </c>
      <c r="BI49" s="32">
        <f>VLOOKUP($AV49,Dummy!$A:$R,14,FALSE)</f>
        <v>0</v>
      </c>
      <c r="BJ49" s="33" t="str">
        <f>VLOOKUP($AV49,Dummy!$A:$R,15,FALSE)</f>
        <v>MAX</v>
      </c>
      <c r="BK49" s="32">
        <f>VLOOKUP($AV49,Dummy!$A:$R,16,FALSE)</f>
        <v>0</v>
      </c>
      <c r="BL49" s="32">
        <f>VLOOKUP($AV49,Dummy!$A:$R,17,FALSE)</f>
        <v>0</v>
      </c>
      <c r="BM49" s="33" t="str">
        <f>VLOOKUP($AV49,Dummy!$A:$R,18,FALSE)</f>
        <v>MAX</v>
      </c>
    </row>
    <row r="50" spans="2:65" x14ac:dyDescent="0.25">
      <c r="B50" s="17">
        <v>45826</v>
      </c>
      <c r="C50" s="21">
        <v>0.66666666666666663</v>
      </c>
      <c r="D50" s="29" t="s">
        <v>49</v>
      </c>
      <c r="E50" s="37"/>
      <c r="F50" s="11" t="s">
        <v>7</v>
      </c>
      <c r="G50" s="38"/>
      <c r="H50" s="25" t="s">
        <v>50</v>
      </c>
      <c r="I50" s="37"/>
      <c r="J50" s="11" t="s">
        <v>7</v>
      </c>
      <c r="K50" s="38"/>
      <c r="L50" s="37"/>
      <c r="M50" s="11" t="s">
        <v>7</v>
      </c>
      <c r="N50" s="38"/>
      <c r="O50" s="37"/>
      <c r="P50" s="11" t="s">
        <v>7</v>
      </c>
      <c r="Q50" s="38"/>
      <c r="R50" s="37"/>
      <c r="S50" s="11" t="s">
        <v>7</v>
      </c>
      <c r="T50" s="38"/>
      <c r="U50" s="37"/>
      <c r="V50" s="11" t="s">
        <v>7</v>
      </c>
      <c r="W50" s="38"/>
      <c r="X50" s="12">
        <f t="shared" ref="X50:X60" si="63">SUM(I50,L50,O50,R50,U50)</f>
        <v>0</v>
      </c>
      <c r="Y50" s="13" t="s">
        <v>7</v>
      </c>
      <c r="Z50" s="14">
        <f t="shared" ref="Z50:Z60" si="64">SUM(K50,N50,Q50,T50,W50)</f>
        <v>0</v>
      </c>
      <c r="AB50" s="4">
        <f t="shared" ref="AB50:AB60" si="65">AE50+AF50</f>
        <v>0</v>
      </c>
      <c r="AC50" s="4">
        <f t="shared" ref="AC50:AC60" si="66">IF(OR(E50="",G50=""),0,IF(E50&gt;G50,D50,H50))</f>
        <v>0</v>
      </c>
      <c r="AD50" s="4">
        <f t="shared" ref="AD50:AD60" si="67">IF(OR(E50="",G50=""),0,1)</f>
        <v>0</v>
      </c>
      <c r="AE50" s="4">
        <f t="shared" ref="AE50:AE60" si="68">IF(OR(E50="",G50=""),0,IF(E50&gt;G50,E50,G50))</f>
        <v>0</v>
      </c>
      <c r="AF50" s="4">
        <f t="shared" ref="AF50:AF60" si="69">IF(OR(E50="",G50=""),0,IF(E50&gt;G50,G50,E50))</f>
        <v>0</v>
      </c>
      <c r="AG50" s="4">
        <f t="shared" ref="AG50:AG60" si="70">IF(AND(AE50=3,AF50=0),1,0)</f>
        <v>0</v>
      </c>
      <c r="AH50" s="4">
        <f t="shared" ref="AH50:AH60" si="71">IF(AND(AE50=3,AF50=1),1,0)</f>
        <v>0</v>
      </c>
      <c r="AI50" s="4">
        <f t="shared" ref="AI50:AI60" si="72">IF(AND(AE50=3,AF50=2),1,0)</f>
        <v>0</v>
      </c>
      <c r="AJ50" s="4">
        <f t="shared" ref="AJ50:AJ60" si="73">IF(E50&gt;G50,SUM(I50,L50,O50,R50,U50,),SUM(K50,N50,Q50,T50,W50))</f>
        <v>0</v>
      </c>
      <c r="AK50" s="4">
        <f t="shared" ref="AK50:AK60" si="74">IF(E50&gt;G50,SUM(K50,N50,Q50,T50,W50),SUM(I50,L50,O50,R50,U50))</f>
        <v>0</v>
      </c>
      <c r="AM50" s="4">
        <f t="shared" ref="AM50:AM60" si="75">IF(OR(E50="",G50=""),0,IF(E50&lt;G50,D50,H50))</f>
        <v>0</v>
      </c>
      <c r="AN50" s="4">
        <f t="shared" ref="AN50:AN60" si="76">IF(OR(E50="",G50=""),0,1)</f>
        <v>0</v>
      </c>
      <c r="AO50" s="4">
        <f t="shared" ref="AO50:AO60" si="77">IF(OR(E50="",G50=""),0,IF(E50&lt;G50,E50,G50))</f>
        <v>0</v>
      </c>
      <c r="AP50" s="4">
        <f t="shared" ref="AP50:AP60" si="78">IF(OR(E50="",G50=""),0,IF(E50&lt;G50,G50,E50))</f>
        <v>0</v>
      </c>
      <c r="AQ50" s="4">
        <f t="shared" ref="AQ50:AQ60" si="79">IF(AND(AO50=2,AP50=3),1,0)</f>
        <v>0</v>
      </c>
      <c r="AR50" s="4">
        <f t="shared" ref="AR50:AR60" si="80">IF(AND(AO50=1,AP50=3),1,0)</f>
        <v>0</v>
      </c>
      <c r="AS50" s="4">
        <f t="shared" ref="AS50:AS60" si="81">IF(AND(AO50=0,AP50=3),1,0)</f>
        <v>0</v>
      </c>
      <c r="AT50" s="4">
        <f t="shared" ref="AT50:AT60" si="82">IF(E50&lt;G50,SUM(I50,L50,O50,R50,U50,),SUM(K50,N50,Q50,T50,W50))</f>
        <v>0</v>
      </c>
      <c r="AU50" s="4">
        <f t="shared" ref="AU50:AU60" si="83">IF(E50&lt;G50,SUM(K50,N50,Q50,T50,W50),SUM(I50,L50,O50,R50,U50))</f>
        <v>0</v>
      </c>
      <c r="AV50" s="35">
        <v>3</v>
      </c>
      <c r="AW50" s="34" t="str">
        <f>VLOOKUP($AV50,Dummy!$A:$R,2,FALSE)</f>
        <v>Brasil</v>
      </c>
      <c r="AX50" s="32">
        <f>VLOOKUP($AV50,Dummy!$A:$R,3,FALSE)</f>
        <v>0</v>
      </c>
      <c r="AY50" s="32">
        <f>VLOOKUP($AV50,Dummy!$A:$R,4,FALSE)</f>
        <v>0</v>
      </c>
      <c r="AZ50" s="32">
        <f>VLOOKUP($AV50,Dummy!$A:$R,5,FALSE)</f>
        <v>0</v>
      </c>
      <c r="BA50" s="32">
        <f>VLOOKUP($AV50,Dummy!$A:$R,6,FALSE)</f>
        <v>0</v>
      </c>
      <c r="BB50" s="32">
        <f>VLOOKUP($AV50,Dummy!$A:$R,7,FALSE)</f>
        <v>0</v>
      </c>
      <c r="BC50" s="32">
        <f>VLOOKUP($AV50,Dummy!$A:$R,8,FALSE)</f>
        <v>0</v>
      </c>
      <c r="BD50" s="32">
        <f>VLOOKUP($AV50,Dummy!$A:$R,9,FALSE)</f>
        <v>0</v>
      </c>
      <c r="BE50" s="32">
        <f>VLOOKUP($AV50,Dummy!$A:$R,10,FALSE)</f>
        <v>0</v>
      </c>
      <c r="BF50" s="32">
        <f>VLOOKUP($AV50,Dummy!$A:$R,11,FALSE)</f>
        <v>0</v>
      </c>
      <c r="BG50" s="32">
        <f>VLOOKUP($AV50,Dummy!$A:$R,12,FALSE)</f>
        <v>0</v>
      </c>
      <c r="BH50" s="32">
        <f>VLOOKUP($AV50,Dummy!$A:$R,13,FALSE)</f>
        <v>0</v>
      </c>
      <c r="BI50" s="32">
        <f>VLOOKUP($AV50,Dummy!$A:$R,14,FALSE)</f>
        <v>0</v>
      </c>
      <c r="BJ50" s="33" t="str">
        <f>VLOOKUP($AV50,Dummy!$A:$R,15,FALSE)</f>
        <v>MAX</v>
      </c>
      <c r="BK50" s="32">
        <f>VLOOKUP($AV50,Dummy!$A:$R,16,FALSE)</f>
        <v>0</v>
      </c>
      <c r="BL50" s="32">
        <f>VLOOKUP($AV50,Dummy!$A:$R,17,FALSE)</f>
        <v>0</v>
      </c>
      <c r="BM50" s="33" t="str">
        <f>VLOOKUP($AV50,Dummy!$A:$R,18,FALSE)</f>
        <v>MAX</v>
      </c>
    </row>
    <row r="51" spans="2:65" x14ac:dyDescent="0.25">
      <c r="B51" s="17">
        <v>45826</v>
      </c>
      <c r="C51" s="21">
        <v>0.8125</v>
      </c>
      <c r="D51" s="29" t="s">
        <v>57</v>
      </c>
      <c r="E51" s="37"/>
      <c r="F51" s="11" t="s">
        <v>7</v>
      </c>
      <c r="G51" s="38"/>
      <c r="H51" s="25" t="s">
        <v>31</v>
      </c>
      <c r="I51" s="37"/>
      <c r="J51" s="11" t="s">
        <v>7</v>
      </c>
      <c r="K51" s="38"/>
      <c r="L51" s="37"/>
      <c r="M51" s="11" t="s">
        <v>7</v>
      </c>
      <c r="N51" s="38"/>
      <c r="O51" s="37"/>
      <c r="P51" s="11" t="s">
        <v>7</v>
      </c>
      <c r="Q51" s="38"/>
      <c r="R51" s="37"/>
      <c r="S51" s="11" t="s">
        <v>7</v>
      </c>
      <c r="T51" s="38"/>
      <c r="U51" s="37"/>
      <c r="V51" s="11" t="s">
        <v>7</v>
      </c>
      <c r="W51" s="38"/>
      <c r="X51" s="12">
        <f t="shared" si="63"/>
        <v>0</v>
      </c>
      <c r="Y51" s="13" t="s">
        <v>7</v>
      </c>
      <c r="Z51" s="14">
        <f t="shared" si="64"/>
        <v>0</v>
      </c>
      <c r="AB51" s="4">
        <f t="shared" si="65"/>
        <v>0</v>
      </c>
      <c r="AC51" s="4">
        <f t="shared" si="66"/>
        <v>0</v>
      </c>
      <c r="AD51" s="4">
        <f t="shared" si="67"/>
        <v>0</v>
      </c>
      <c r="AE51" s="4">
        <f t="shared" si="68"/>
        <v>0</v>
      </c>
      <c r="AF51" s="4">
        <f t="shared" si="69"/>
        <v>0</v>
      </c>
      <c r="AG51" s="4">
        <f t="shared" si="70"/>
        <v>0</v>
      </c>
      <c r="AH51" s="4">
        <f t="shared" si="71"/>
        <v>0</v>
      </c>
      <c r="AI51" s="4">
        <f t="shared" si="72"/>
        <v>0</v>
      </c>
      <c r="AJ51" s="4">
        <f t="shared" si="73"/>
        <v>0</v>
      </c>
      <c r="AK51" s="4">
        <f t="shared" si="74"/>
        <v>0</v>
      </c>
      <c r="AM51" s="4">
        <f t="shared" si="75"/>
        <v>0</v>
      </c>
      <c r="AN51" s="4">
        <f t="shared" si="76"/>
        <v>0</v>
      </c>
      <c r="AO51" s="4">
        <f t="shared" si="77"/>
        <v>0</v>
      </c>
      <c r="AP51" s="4">
        <f t="shared" si="78"/>
        <v>0</v>
      </c>
      <c r="AQ51" s="4">
        <f t="shared" si="79"/>
        <v>0</v>
      </c>
      <c r="AR51" s="4">
        <f t="shared" si="80"/>
        <v>0</v>
      </c>
      <c r="AS51" s="4">
        <f t="shared" si="81"/>
        <v>0</v>
      </c>
      <c r="AT51" s="4">
        <f t="shared" si="82"/>
        <v>0</v>
      </c>
      <c r="AU51" s="4">
        <f t="shared" si="83"/>
        <v>0</v>
      </c>
      <c r="AV51" s="35">
        <v>4</v>
      </c>
      <c r="AW51" s="34" t="str">
        <f>VLOOKUP($AV51,Dummy!$A:$R,2,FALSE)</f>
        <v>Bulgária</v>
      </c>
      <c r="AX51" s="32">
        <f>VLOOKUP($AV51,Dummy!$A:$R,3,FALSE)</f>
        <v>0</v>
      </c>
      <c r="AY51" s="32">
        <f>VLOOKUP($AV51,Dummy!$A:$R,4,FALSE)</f>
        <v>0</v>
      </c>
      <c r="AZ51" s="32">
        <f>VLOOKUP($AV51,Dummy!$A:$R,5,FALSE)</f>
        <v>0</v>
      </c>
      <c r="BA51" s="32">
        <f>VLOOKUP($AV51,Dummy!$A:$R,6,FALSE)</f>
        <v>0</v>
      </c>
      <c r="BB51" s="32">
        <f>VLOOKUP($AV51,Dummy!$A:$R,7,FALSE)</f>
        <v>0</v>
      </c>
      <c r="BC51" s="32">
        <f>VLOOKUP($AV51,Dummy!$A:$R,8,FALSE)</f>
        <v>0</v>
      </c>
      <c r="BD51" s="32">
        <f>VLOOKUP($AV51,Dummy!$A:$R,9,FALSE)</f>
        <v>0</v>
      </c>
      <c r="BE51" s="32">
        <f>VLOOKUP($AV51,Dummy!$A:$R,10,FALSE)</f>
        <v>0</v>
      </c>
      <c r="BF51" s="32">
        <f>VLOOKUP($AV51,Dummy!$A:$R,11,FALSE)</f>
        <v>0</v>
      </c>
      <c r="BG51" s="32">
        <f>VLOOKUP($AV51,Dummy!$A:$R,12,FALSE)</f>
        <v>0</v>
      </c>
      <c r="BH51" s="32">
        <f>VLOOKUP($AV51,Dummy!$A:$R,13,FALSE)</f>
        <v>0</v>
      </c>
      <c r="BI51" s="32">
        <f>VLOOKUP($AV51,Dummy!$A:$R,14,FALSE)</f>
        <v>0</v>
      </c>
      <c r="BJ51" s="33" t="str">
        <f>VLOOKUP($AV51,Dummy!$A:$R,15,FALSE)</f>
        <v>MAX</v>
      </c>
      <c r="BK51" s="32">
        <f>VLOOKUP($AV51,Dummy!$A:$R,16,FALSE)</f>
        <v>0</v>
      </c>
      <c r="BL51" s="32">
        <f>VLOOKUP($AV51,Dummy!$A:$R,17,FALSE)</f>
        <v>0</v>
      </c>
      <c r="BM51" s="33" t="str">
        <f>VLOOKUP($AV51,Dummy!$A:$R,18,FALSE)</f>
        <v>MAX</v>
      </c>
    </row>
    <row r="52" spans="2:65" x14ac:dyDescent="0.25">
      <c r="B52" s="17">
        <v>45827</v>
      </c>
      <c r="C52" s="21">
        <v>0.66666666666666663</v>
      </c>
      <c r="D52" s="29" t="s">
        <v>49</v>
      </c>
      <c r="E52" s="37"/>
      <c r="F52" s="11" t="s">
        <v>7</v>
      </c>
      <c r="G52" s="38"/>
      <c r="H52" s="25" t="s">
        <v>57</v>
      </c>
      <c r="I52" s="37"/>
      <c r="J52" s="11" t="s">
        <v>7</v>
      </c>
      <c r="K52" s="38"/>
      <c r="L52" s="37"/>
      <c r="M52" s="11" t="s">
        <v>7</v>
      </c>
      <c r="N52" s="38"/>
      <c r="O52" s="37"/>
      <c r="P52" s="11" t="s">
        <v>7</v>
      </c>
      <c r="Q52" s="38"/>
      <c r="R52" s="37"/>
      <c r="S52" s="11" t="s">
        <v>7</v>
      </c>
      <c r="T52" s="38"/>
      <c r="U52" s="37"/>
      <c r="V52" s="11" t="s">
        <v>7</v>
      </c>
      <c r="W52" s="38"/>
      <c r="X52" s="12">
        <f t="shared" si="63"/>
        <v>0</v>
      </c>
      <c r="Y52" s="13" t="s">
        <v>7</v>
      </c>
      <c r="Z52" s="14">
        <f t="shared" si="64"/>
        <v>0</v>
      </c>
      <c r="AB52" s="4">
        <f t="shared" si="65"/>
        <v>0</v>
      </c>
      <c r="AC52" s="4">
        <f t="shared" si="66"/>
        <v>0</v>
      </c>
      <c r="AD52" s="4">
        <f t="shared" si="67"/>
        <v>0</v>
      </c>
      <c r="AE52" s="4">
        <f t="shared" si="68"/>
        <v>0</v>
      </c>
      <c r="AF52" s="4">
        <f t="shared" si="69"/>
        <v>0</v>
      </c>
      <c r="AG52" s="4">
        <f t="shared" si="70"/>
        <v>0</v>
      </c>
      <c r="AH52" s="4">
        <f t="shared" si="71"/>
        <v>0</v>
      </c>
      <c r="AI52" s="4">
        <f t="shared" si="72"/>
        <v>0</v>
      </c>
      <c r="AJ52" s="4">
        <f t="shared" si="73"/>
        <v>0</v>
      </c>
      <c r="AK52" s="4">
        <f t="shared" si="74"/>
        <v>0</v>
      </c>
      <c r="AM52" s="4">
        <f t="shared" si="75"/>
        <v>0</v>
      </c>
      <c r="AN52" s="4">
        <f t="shared" si="76"/>
        <v>0</v>
      </c>
      <c r="AO52" s="4">
        <f t="shared" si="77"/>
        <v>0</v>
      </c>
      <c r="AP52" s="4">
        <f t="shared" si="78"/>
        <v>0</v>
      </c>
      <c r="AQ52" s="4">
        <f t="shared" si="79"/>
        <v>0</v>
      </c>
      <c r="AR52" s="4">
        <f t="shared" si="80"/>
        <v>0</v>
      </c>
      <c r="AS52" s="4">
        <f t="shared" si="81"/>
        <v>0</v>
      </c>
      <c r="AT52" s="4">
        <f t="shared" si="82"/>
        <v>0</v>
      </c>
      <c r="AU52" s="4">
        <f t="shared" si="83"/>
        <v>0</v>
      </c>
      <c r="AV52" s="35">
        <v>5</v>
      </c>
      <c r="AW52" s="34" t="str">
        <f>VLOOKUP($AV52,Dummy!$A:$R,2,FALSE)</f>
        <v>Canadá</v>
      </c>
      <c r="AX52" s="32">
        <f>VLOOKUP($AV52,Dummy!$A:$R,3,FALSE)</f>
        <v>0</v>
      </c>
      <c r="AY52" s="32">
        <f>VLOOKUP($AV52,Dummy!$A:$R,4,FALSE)</f>
        <v>0</v>
      </c>
      <c r="AZ52" s="32">
        <f>VLOOKUP($AV52,Dummy!$A:$R,5,FALSE)</f>
        <v>0</v>
      </c>
      <c r="BA52" s="32">
        <f>VLOOKUP($AV52,Dummy!$A:$R,6,FALSE)</f>
        <v>0</v>
      </c>
      <c r="BB52" s="32">
        <f>VLOOKUP($AV52,Dummy!$A:$R,7,FALSE)</f>
        <v>0</v>
      </c>
      <c r="BC52" s="32">
        <f>VLOOKUP($AV52,Dummy!$A:$R,8,FALSE)</f>
        <v>0</v>
      </c>
      <c r="BD52" s="32">
        <f>VLOOKUP($AV52,Dummy!$A:$R,9,FALSE)</f>
        <v>0</v>
      </c>
      <c r="BE52" s="32">
        <f>VLOOKUP($AV52,Dummy!$A:$R,10,FALSE)</f>
        <v>0</v>
      </c>
      <c r="BF52" s="32">
        <f>VLOOKUP($AV52,Dummy!$A:$R,11,FALSE)</f>
        <v>0</v>
      </c>
      <c r="BG52" s="32">
        <f>VLOOKUP($AV52,Dummy!$A:$R,12,FALSE)</f>
        <v>0</v>
      </c>
      <c r="BH52" s="32">
        <f>VLOOKUP($AV52,Dummy!$A:$R,13,FALSE)</f>
        <v>0</v>
      </c>
      <c r="BI52" s="32">
        <f>VLOOKUP($AV52,Dummy!$A:$R,14,FALSE)</f>
        <v>0</v>
      </c>
      <c r="BJ52" s="33" t="str">
        <f>VLOOKUP($AV52,Dummy!$A:$R,15,FALSE)</f>
        <v>MAX</v>
      </c>
      <c r="BK52" s="32">
        <f>VLOOKUP($AV52,Dummy!$A:$R,16,FALSE)</f>
        <v>0</v>
      </c>
      <c r="BL52" s="32">
        <f>VLOOKUP($AV52,Dummy!$A:$R,17,FALSE)</f>
        <v>0</v>
      </c>
      <c r="BM52" s="33" t="str">
        <f>VLOOKUP($AV52,Dummy!$A:$R,18,FALSE)</f>
        <v>MAX</v>
      </c>
    </row>
    <row r="53" spans="2:65" x14ac:dyDescent="0.25">
      <c r="B53" s="17">
        <v>45827</v>
      </c>
      <c r="C53" s="21">
        <v>0.8125</v>
      </c>
      <c r="D53" s="29" t="s">
        <v>52</v>
      </c>
      <c r="E53" s="37"/>
      <c r="F53" s="11" t="s">
        <v>7</v>
      </c>
      <c r="G53" s="38"/>
      <c r="H53" s="25" t="s">
        <v>31</v>
      </c>
      <c r="I53" s="37"/>
      <c r="J53" s="11" t="s">
        <v>7</v>
      </c>
      <c r="K53" s="38"/>
      <c r="L53" s="37"/>
      <c r="M53" s="11" t="s">
        <v>7</v>
      </c>
      <c r="N53" s="38"/>
      <c r="O53" s="37"/>
      <c r="P53" s="11" t="s">
        <v>7</v>
      </c>
      <c r="Q53" s="38"/>
      <c r="R53" s="37"/>
      <c r="S53" s="11" t="s">
        <v>7</v>
      </c>
      <c r="T53" s="38"/>
      <c r="U53" s="37"/>
      <c r="V53" s="11" t="s">
        <v>7</v>
      </c>
      <c r="W53" s="38"/>
      <c r="X53" s="12">
        <f t="shared" si="63"/>
        <v>0</v>
      </c>
      <c r="Y53" s="13" t="s">
        <v>7</v>
      </c>
      <c r="Z53" s="14">
        <f t="shared" si="64"/>
        <v>0</v>
      </c>
      <c r="AB53" s="4">
        <f t="shared" si="65"/>
        <v>0</v>
      </c>
      <c r="AC53" s="4">
        <f t="shared" si="66"/>
        <v>0</v>
      </c>
      <c r="AD53" s="4">
        <f t="shared" si="67"/>
        <v>0</v>
      </c>
      <c r="AE53" s="4">
        <f t="shared" si="68"/>
        <v>0</v>
      </c>
      <c r="AF53" s="4">
        <f t="shared" si="69"/>
        <v>0</v>
      </c>
      <c r="AG53" s="4">
        <f t="shared" si="70"/>
        <v>0</v>
      </c>
      <c r="AH53" s="4">
        <f t="shared" si="71"/>
        <v>0</v>
      </c>
      <c r="AI53" s="4">
        <f t="shared" si="72"/>
        <v>0</v>
      </c>
      <c r="AJ53" s="4">
        <f t="shared" si="73"/>
        <v>0</v>
      </c>
      <c r="AK53" s="4">
        <f t="shared" si="74"/>
        <v>0</v>
      </c>
      <c r="AM53" s="4">
        <f t="shared" si="75"/>
        <v>0</v>
      </c>
      <c r="AN53" s="4">
        <f t="shared" si="76"/>
        <v>0</v>
      </c>
      <c r="AO53" s="4">
        <f t="shared" si="77"/>
        <v>0</v>
      </c>
      <c r="AP53" s="4">
        <f t="shared" si="78"/>
        <v>0</v>
      </c>
      <c r="AQ53" s="4">
        <f t="shared" si="79"/>
        <v>0</v>
      </c>
      <c r="AR53" s="4">
        <f t="shared" si="80"/>
        <v>0</v>
      </c>
      <c r="AS53" s="4">
        <f t="shared" si="81"/>
        <v>0</v>
      </c>
      <c r="AT53" s="4">
        <f t="shared" si="82"/>
        <v>0</v>
      </c>
      <c r="AU53" s="4">
        <f t="shared" si="83"/>
        <v>0</v>
      </c>
      <c r="AV53" s="35">
        <v>6</v>
      </c>
      <c r="AW53" s="34" t="str">
        <f>VLOOKUP($AV53,Dummy!$A:$R,2,FALSE)</f>
        <v>República Tcheca</v>
      </c>
      <c r="AX53" s="32">
        <f>VLOOKUP($AV53,Dummy!$A:$R,3,FALSE)</f>
        <v>0</v>
      </c>
      <c r="AY53" s="32">
        <f>VLOOKUP($AV53,Dummy!$A:$R,4,FALSE)</f>
        <v>0</v>
      </c>
      <c r="AZ53" s="32">
        <f>VLOOKUP($AV53,Dummy!$A:$R,5,FALSE)</f>
        <v>0</v>
      </c>
      <c r="BA53" s="32">
        <f>VLOOKUP($AV53,Dummy!$A:$R,6,FALSE)</f>
        <v>0</v>
      </c>
      <c r="BB53" s="32">
        <f>VLOOKUP($AV53,Dummy!$A:$R,7,FALSE)</f>
        <v>0</v>
      </c>
      <c r="BC53" s="32">
        <f>VLOOKUP($AV53,Dummy!$A:$R,8,FALSE)</f>
        <v>0</v>
      </c>
      <c r="BD53" s="32">
        <f>VLOOKUP($AV53,Dummy!$A:$R,9,FALSE)</f>
        <v>0</v>
      </c>
      <c r="BE53" s="32">
        <f>VLOOKUP($AV53,Dummy!$A:$R,10,FALSE)</f>
        <v>0</v>
      </c>
      <c r="BF53" s="32">
        <f>VLOOKUP($AV53,Dummy!$A:$R,11,FALSE)</f>
        <v>0</v>
      </c>
      <c r="BG53" s="32">
        <f>VLOOKUP($AV53,Dummy!$A:$R,12,FALSE)</f>
        <v>0</v>
      </c>
      <c r="BH53" s="32">
        <f>VLOOKUP($AV53,Dummy!$A:$R,13,FALSE)</f>
        <v>0</v>
      </c>
      <c r="BI53" s="32">
        <f>VLOOKUP($AV53,Dummy!$A:$R,14,FALSE)</f>
        <v>0</v>
      </c>
      <c r="BJ53" s="33" t="str">
        <f>VLOOKUP($AV53,Dummy!$A:$R,15,FALSE)</f>
        <v>MAX</v>
      </c>
      <c r="BK53" s="32">
        <f>VLOOKUP($AV53,Dummy!$A:$R,16,FALSE)</f>
        <v>0</v>
      </c>
      <c r="BL53" s="32">
        <f>VLOOKUP($AV53,Dummy!$A:$R,17,FALSE)</f>
        <v>0</v>
      </c>
      <c r="BM53" s="33" t="str">
        <f>VLOOKUP($AV53,Dummy!$A:$R,18,FALSE)</f>
        <v>MAX</v>
      </c>
    </row>
    <row r="54" spans="2:65" x14ac:dyDescent="0.25">
      <c r="B54" s="17">
        <v>45828</v>
      </c>
      <c r="C54" s="21">
        <v>0.66666666666666663</v>
      </c>
      <c r="D54" s="29" t="s">
        <v>55</v>
      </c>
      <c r="E54" s="37"/>
      <c r="F54" s="11" t="s">
        <v>7</v>
      </c>
      <c r="G54" s="38"/>
      <c r="H54" s="25" t="s">
        <v>49</v>
      </c>
      <c r="I54" s="37"/>
      <c r="J54" s="11" t="s">
        <v>7</v>
      </c>
      <c r="K54" s="38"/>
      <c r="L54" s="37"/>
      <c r="M54" s="11" t="s">
        <v>7</v>
      </c>
      <c r="N54" s="38"/>
      <c r="O54" s="37"/>
      <c r="P54" s="11" t="s">
        <v>7</v>
      </c>
      <c r="Q54" s="38"/>
      <c r="R54" s="37"/>
      <c r="S54" s="11" t="s">
        <v>7</v>
      </c>
      <c r="T54" s="38"/>
      <c r="U54" s="37"/>
      <c r="V54" s="11" t="s">
        <v>7</v>
      </c>
      <c r="W54" s="38"/>
      <c r="X54" s="12">
        <f t="shared" si="63"/>
        <v>0</v>
      </c>
      <c r="Y54" s="13" t="s">
        <v>7</v>
      </c>
      <c r="Z54" s="14">
        <f t="shared" si="64"/>
        <v>0</v>
      </c>
      <c r="AB54" s="4">
        <f t="shared" si="65"/>
        <v>0</v>
      </c>
      <c r="AC54" s="4">
        <f t="shared" si="66"/>
        <v>0</v>
      </c>
      <c r="AD54" s="4">
        <f t="shared" si="67"/>
        <v>0</v>
      </c>
      <c r="AE54" s="4">
        <f t="shared" si="68"/>
        <v>0</v>
      </c>
      <c r="AF54" s="4">
        <f t="shared" si="69"/>
        <v>0</v>
      </c>
      <c r="AG54" s="4">
        <f t="shared" si="70"/>
        <v>0</v>
      </c>
      <c r="AH54" s="4">
        <f t="shared" si="71"/>
        <v>0</v>
      </c>
      <c r="AI54" s="4">
        <f t="shared" si="72"/>
        <v>0</v>
      </c>
      <c r="AJ54" s="4">
        <f t="shared" si="73"/>
        <v>0</v>
      </c>
      <c r="AK54" s="4">
        <f t="shared" si="74"/>
        <v>0</v>
      </c>
      <c r="AM54" s="4">
        <f t="shared" si="75"/>
        <v>0</v>
      </c>
      <c r="AN54" s="4">
        <f t="shared" si="76"/>
        <v>0</v>
      </c>
      <c r="AO54" s="4">
        <f t="shared" si="77"/>
        <v>0</v>
      </c>
      <c r="AP54" s="4">
        <f t="shared" si="78"/>
        <v>0</v>
      </c>
      <c r="AQ54" s="4">
        <f t="shared" si="79"/>
        <v>0</v>
      </c>
      <c r="AR54" s="4">
        <f t="shared" si="80"/>
        <v>0</v>
      </c>
      <c r="AS54" s="4">
        <f t="shared" si="81"/>
        <v>0</v>
      </c>
      <c r="AT54" s="4">
        <f t="shared" si="82"/>
        <v>0</v>
      </c>
      <c r="AU54" s="4">
        <f t="shared" si="83"/>
        <v>0</v>
      </c>
      <c r="AV54" s="35">
        <v>7</v>
      </c>
      <c r="AW54" s="34" t="str">
        <f>VLOOKUP($AV54,Dummy!$A:$R,2,FALSE)</f>
        <v>China</v>
      </c>
      <c r="AX54" s="32">
        <f>VLOOKUP($AV54,Dummy!$A:$R,3,FALSE)</f>
        <v>0</v>
      </c>
      <c r="AY54" s="32">
        <f>VLOOKUP($AV54,Dummy!$A:$R,4,FALSE)</f>
        <v>0</v>
      </c>
      <c r="AZ54" s="32">
        <f>VLOOKUP($AV54,Dummy!$A:$R,5,FALSE)</f>
        <v>0</v>
      </c>
      <c r="BA54" s="32">
        <f>VLOOKUP($AV54,Dummy!$A:$R,6,FALSE)</f>
        <v>0</v>
      </c>
      <c r="BB54" s="32">
        <f>VLOOKUP($AV54,Dummy!$A:$R,7,FALSE)</f>
        <v>0</v>
      </c>
      <c r="BC54" s="32">
        <f>VLOOKUP($AV54,Dummy!$A:$R,8,FALSE)</f>
        <v>0</v>
      </c>
      <c r="BD54" s="32">
        <f>VLOOKUP($AV54,Dummy!$A:$R,9,FALSE)</f>
        <v>0</v>
      </c>
      <c r="BE54" s="32">
        <f>VLOOKUP($AV54,Dummy!$A:$R,10,FALSE)</f>
        <v>0</v>
      </c>
      <c r="BF54" s="32">
        <f>VLOOKUP($AV54,Dummy!$A:$R,11,FALSE)</f>
        <v>0</v>
      </c>
      <c r="BG54" s="32">
        <f>VLOOKUP($AV54,Dummy!$A:$R,12,FALSE)</f>
        <v>0</v>
      </c>
      <c r="BH54" s="32">
        <f>VLOOKUP($AV54,Dummy!$A:$R,13,FALSE)</f>
        <v>0</v>
      </c>
      <c r="BI54" s="32">
        <f>VLOOKUP($AV54,Dummy!$A:$R,14,FALSE)</f>
        <v>0</v>
      </c>
      <c r="BJ54" s="33" t="str">
        <f>VLOOKUP($AV54,Dummy!$A:$R,15,FALSE)</f>
        <v>MAX</v>
      </c>
      <c r="BK54" s="32">
        <f>VLOOKUP($AV54,Dummy!$A:$R,16,FALSE)</f>
        <v>0</v>
      </c>
      <c r="BL54" s="32">
        <f>VLOOKUP($AV54,Dummy!$A:$R,17,FALSE)</f>
        <v>0</v>
      </c>
      <c r="BM54" s="33" t="str">
        <f>VLOOKUP($AV54,Dummy!$A:$R,18,FALSE)</f>
        <v>MAX</v>
      </c>
    </row>
    <row r="55" spans="2:65" x14ac:dyDescent="0.25">
      <c r="B55" s="17">
        <v>45828</v>
      </c>
      <c r="C55" s="21">
        <v>0.8125</v>
      </c>
      <c r="D55" s="29" t="s">
        <v>52</v>
      </c>
      <c r="E55" s="37"/>
      <c r="F55" s="11" t="s">
        <v>7</v>
      </c>
      <c r="G55" s="38"/>
      <c r="H55" s="25" t="s">
        <v>50</v>
      </c>
      <c r="I55" s="37"/>
      <c r="J55" s="11" t="s">
        <v>7</v>
      </c>
      <c r="K55" s="38"/>
      <c r="L55" s="37"/>
      <c r="M55" s="11" t="s">
        <v>7</v>
      </c>
      <c r="N55" s="38"/>
      <c r="O55" s="37"/>
      <c r="P55" s="11" t="s">
        <v>7</v>
      </c>
      <c r="Q55" s="38"/>
      <c r="R55" s="37"/>
      <c r="S55" s="11" t="s">
        <v>7</v>
      </c>
      <c r="T55" s="38"/>
      <c r="U55" s="37"/>
      <c r="V55" s="11" t="s">
        <v>7</v>
      </c>
      <c r="W55" s="38"/>
      <c r="X55" s="12">
        <f t="shared" si="63"/>
        <v>0</v>
      </c>
      <c r="Y55" s="13" t="s">
        <v>7</v>
      </c>
      <c r="Z55" s="14">
        <f t="shared" si="64"/>
        <v>0</v>
      </c>
      <c r="AB55" s="4">
        <f t="shared" si="65"/>
        <v>0</v>
      </c>
      <c r="AC55" s="4">
        <f t="shared" si="66"/>
        <v>0</v>
      </c>
      <c r="AD55" s="4">
        <f t="shared" si="67"/>
        <v>0</v>
      </c>
      <c r="AE55" s="4">
        <f t="shared" si="68"/>
        <v>0</v>
      </c>
      <c r="AF55" s="4">
        <f t="shared" si="69"/>
        <v>0</v>
      </c>
      <c r="AG55" s="4">
        <f t="shared" si="70"/>
        <v>0</v>
      </c>
      <c r="AH55" s="4">
        <f t="shared" si="71"/>
        <v>0</v>
      </c>
      <c r="AI55" s="4">
        <f t="shared" si="72"/>
        <v>0</v>
      </c>
      <c r="AJ55" s="4">
        <f t="shared" si="73"/>
        <v>0</v>
      </c>
      <c r="AK55" s="4">
        <f t="shared" si="74"/>
        <v>0</v>
      </c>
      <c r="AM55" s="4">
        <f t="shared" si="75"/>
        <v>0</v>
      </c>
      <c r="AN55" s="4">
        <f t="shared" si="76"/>
        <v>0</v>
      </c>
      <c r="AO55" s="4">
        <f t="shared" si="77"/>
        <v>0</v>
      </c>
      <c r="AP55" s="4">
        <f t="shared" si="78"/>
        <v>0</v>
      </c>
      <c r="AQ55" s="4">
        <f t="shared" si="79"/>
        <v>0</v>
      </c>
      <c r="AR55" s="4">
        <f t="shared" si="80"/>
        <v>0</v>
      </c>
      <c r="AS55" s="4">
        <f t="shared" si="81"/>
        <v>0</v>
      </c>
      <c r="AT55" s="4">
        <f t="shared" si="82"/>
        <v>0</v>
      </c>
      <c r="AU55" s="4">
        <f t="shared" si="83"/>
        <v>0</v>
      </c>
      <c r="AV55" s="35">
        <v>8</v>
      </c>
      <c r="AW55" s="34" t="str">
        <f>VLOOKUP($AV55,Dummy!$A:$R,2,FALSE)</f>
        <v>Coreia do Sul</v>
      </c>
      <c r="AX55" s="32">
        <f>VLOOKUP($AV55,Dummy!$A:$R,3,FALSE)</f>
        <v>0</v>
      </c>
      <c r="AY55" s="32">
        <f>VLOOKUP($AV55,Dummy!$A:$R,4,FALSE)</f>
        <v>0</v>
      </c>
      <c r="AZ55" s="32">
        <f>VLOOKUP($AV55,Dummy!$A:$R,5,FALSE)</f>
        <v>0</v>
      </c>
      <c r="BA55" s="32">
        <f>VLOOKUP($AV55,Dummy!$A:$R,6,FALSE)</f>
        <v>0</v>
      </c>
      <c r="BB55" s="32">
        <f>VLOOKUP($AV55,Dummy!$A:$R,7,FALSE)</f>
        <v>0</v>
      </c>
      <c r="BC55" s="32">
        <f>VLOOKUP($AV55,Dummy!$A:$R,8,FALSE)</f>
        <v>0</v>
      </c>
      <c r="BD55" s="32">
        <f>VLOOKUP($AV55,Dummy!$A:$R,9,FALSE)</f>
        <v>0</v>
      </c>
      <c r="BE55" s="32">
        <f>VLOOKUP($AV55,Dummy!$A:$R,10,FALSE)</f>
        <v>0</v>
      </c>
      <c r="BF55" s="32">
        <f>VLOOKUP($AV55,Dummy!$A:$R,11,FALSE)</f>
        <v>0</v>
      </c>
      <c r="BG55" s="32">
        <f>VLOOKUP($AV55,Dummy!$A:$R,12,FALSE)</f>
        <v>0</v>
      </c>
      <c r="BH55" s="32">
        <f>VLOOKUP($AV55,Dummy!$A:$R,13,FALSE)</f>
        <v>0</v>
      </c>
      <c r="BI55" s="32">
        <f>VLOOKUP($AV55,Dummy!$A:$R,14,FALSE)</f>
        <v>0</v>
      </c>
      <c r="BJ55" s="33" t="str">
        <f>VLOOKUP($AV55,Dummy!$A:$R,15,FALSE)</f>
        <v>MAX</v>
      </c>
      <c r="BK55" s="32">
        <f>VLOOKUP($AV55,Dummy!$A:$R,16,FALSE)</f>
        <v>0</v>
      </c>
      <c r="BL55" s="32">
        <f>VLOOKUP($AV55,Dummy!$A:$R,17,FALSE)</f>
        <v>0</v>
      </c>
      <c r="BM55" s="33" t="str">
        <f>VLOOKUP($AV55,Dummy!$A:$R,18,FALSE)</f>
        <v>MAX</v>
      </c>
    </row>
    <row r="56" spans="2:65" x14ac:dyDescent="0.25">
      <c r="B56" s="17">
        <v>45829</v>
      </c>
      <c r="C56" s="21">
        <v>0.66666666666666663</v>
      </c>
      <c r="D56" s="29" t="s">
        <v>57</v>
      </c>
      <c r="E56" s="37"/>
      <c r="F56" s="11" t="s">
        <v>7</v>
      </c>
      <c r="G56" s="38"/>
      <c r="H56" s="25" t="s">
        <v>50</v>
      </c>
      <c r="I56" s="37"/>
      <c r="J56" s="11" t="s">
        <v>7</v>
      </c>
      <c r="K56" s="38"/>
      <c r="L56" s="37"/>
      <c r="M56" s="11" t="s">
        <v>7</v>
      </c>
      <c r="N56" s="38"/>
      <c r="O56" s="37"/>
      <c r="P56" s="11" t="s">
        <v>7</v>
      </c>
      <c r="Q56" s="38"/>
      <c r="R56" s="37"/>
      <c r="S56" s="11" t="s">
        <v>7</v>
      </c>
      <c r="T56" s="38"/>
      <c r="U56" s="37"/>
      <c r="V56" s="11" t="s">
        <v>7</v>
      </c>
      <c r="W56" s="38"/>
      <c r="X56" s="12">
        <f t="shared" si="63"/>
        <v>0</v>
      </c>
      <c r="Y56" s="13" t="s">
        <v>7</v>
      </c>
      <c r="Z56" s="14">
        <f t="shared" si="64"/>
        <v>0</v>
      </c>
      <c r="AB56" s="4">
        <f t="shared" si="65"/>
        <v>0</v>
      </c>
      <c r="AC56" s="4">
        <f t="shared" si="66"/>
        <v>0</v>
      </c>
      <c r="AD56" s="4">
        <f t="shared" si="67"/>
        <v>0</v>
      </c>
      <c r="AE56" s="4">
        <f t="shared" si="68"/>
        <v>0</v>
      </c>
      <c r="AF56" s="4">
        <f t="shared" si="69"/>
        <v>0</v>
      </c>
      <c r="AG56" s="4">
        <f t="shared" si="70"/>
        <v>0</v>
      </c>
      <c r="AH56" s="4">
        <f t="shared" si="71"/>
        <v>0</v>
      </c>
      <c r="AI56" s="4">
        <f t="shared" si="72"/>
        <v>0</v>
      </c>
      <c r="AJ56" s="4">
        <f t="shared" si="73"/>
        <v>0</v>
      </c>
      <c r="AK56" s="4">
        <f t="shared" si="74"/>
        <v>0</v>
      </c>
      <c r="AM56" s="4">
        <f t="shared" si="75"/>
        <v>0</v>
      </c>
      <c r="AN56" s="4">
        <f t="shared" si="76"/>
        <v>0</v>
      </c>
      <c r="AO56" s="4">
        <f t="shared" si="77"/>
        <v>0</v>
      </c>
      <c r="AP56" s="4">
        <f t="shared" si="78"/>
        <v>0</v>
      </c>
      <c r="AQ56" s="4">
        <f t="shared" si="79"/>
        <v>0</v>
      </c>
      <c r="AR56" s="4">
        <f t="shared" si="80"/>
        <v>0</v>
      </c>
      <c r="AS56" s="4">
        <f t="shared" si="81"/>
        <v>0</v>
      </c>
      <c r="AT56" s="4">
        <f t="shared" si="82"/>
        <v>0</v>
      </c>
      <c r="AU56" s="4">
        <f t="shared" si="83"/>
        <v>0</v>
      </c>
      <c r="AV56" s="35">
        <v>9</v>
      </c>
      <c r="AW56" s="34" t="str">
        <f>VLOOKUP($AV56,Dummy!$A:$R,2,FALSE)</f>
        <v>Estados Unidos</v>
      </c>
      <c r="AX56" s="32">
        <f>VLOOKUP($AV56,Dummy!$A:$R,3,FALSE)</f>
        <v>0</v>
      </c>
      <c r="AY56" s="32">
        <f>VLOOKUP($AV56,Dummy!$A:$R,4,FALSE)</f>
        <v>0</v>
      </c>
      <c r="AZ56" s="32">
        <f>VLOOKUP($AV56,Dummy!$A:$R,5,FALSE)</f>
        <v>0</v>
      </c>
      <c r="BA56" s="32">
        <f>VLOOKUP($AV56,Dummy!$A:$R,6,FALSE)</f>
        <v>0</v>
      </c>
      <c r="BB56" s="32">
        <f>VLOOKUP($AV56,Dummy!$A:$R,7,FALSE)</f>
        <v>0</v>
      </c>
      <c r="BC56" s="32">
        <f>VLOOKUP($AV56,Dummy!$A:$R,8,FALSE)</f>
        <v>0</v>
      </c>
      <c r="BD56" s="32">
        <f>VLOOKUP($AV56,Dummy!$A:$R,9,FALSE)</f>
        <v>0</v>
      </c>
      <c r="BE56" s="32">
        <f>VLOOKUP($AV56,Dummy!$A:$R,10,FALSE)</f>
        <v>0</v>
      </c>
      <c r="BF56" s="32">
        <f>VLOOKUP($AV56,Dummy!$A:$R,11,FALSE)</f>
        <v>0</v>
      </c>
      <c r="BG56" s="32">
        <f>VLOOKUP($AV56,Dummy!$A:$R,12,FALSE)</f>
        <v>0</v>
      </c>
      <c r="BH56" s="32">
        <f>VLOOKUP($AV56,Dummy!$A:$R,13,FALSE)</f>
        <v>0</v>
      </c>
      <c r="BI56" s="32">
        <f>VLOOKUP($AV56,Dummy!$A:$R,14,FALSE)</f>
        <v>0</v>
      </c>
      <c r="BJ56" s="33" t="str">
        <f>VLOOKUP($AV56,Dummy!$A:$R,15,FALSE)</f>
        <v>MAX</v>
      </c>
      <c r="BK56" s="32">
        <f>VLOOKUP($AV56,Dummy!$A:$R,16,FALSE)</f>
        <v>0</v>
      </c>
      <c r="BL56" s="32">
        <f>VLOOKUP($AV56,Dummy!$A:$R,17,FALSE)</f>
        <v>0</v>
      </c>
      <c r="BM56" s="33" t="str">
        <f>VLOOKUP($AV56,Dummy!$A:$R,18,FALSE)</f>
        <v>MAX</v>
      </c>
    </row>
    <row r="57" spans="2:65" x14ac:dyDescent="0.25">
      <c r="B57" s="17">
        <v>45829</v>
      </c>
      <c r="C57" s="21">
        <v>0.8125</v>
      </c>
      <c r="D57" s="29" t="s">
        <v>55</v>
      </c>
      <c r="E57" s="37"/>
      <c r="F57" s="11" t="s">
        <v>7</v>
      </c>
      <c r="G57" s="38"/>
      <c r="H57" s="25" t="s">
        <v>31</v>
      </c>
      <c r="I57" s="37"/>
      <c r="J57" s="11" t="s">
        <v>7</v>
      </c>
      <c r="K57" s="38"/>
      <c r="L57" s="37"/>
      <c r="M57" s="11" t="s">
        <v>7</v>
      </c>
      <c r="N57" s="38"/>
      <c r="O57" s="37"/>
      <c r="P57" s="11" t="s">
        <v>7</v>
      </c>
      <c r="Q57" s="38"/>
      <c r="R57" s="37"/>
      <c r="S57" s="11" t="s">
        <v>7</v>
      </c>
      <c r="T57" s="38"/>
      <c r="U57" s="37"/>
      <c r="V57" s="11" t="s">
        <v>7</v>
      </c>
      <c r="W57" s="38"/>
      <c r="X57" s="12">
        <f t="shared" si="63"/>
        <v>0</v>
      </c>
      <c r="Y57" s="13" t="s">
        <v>7</v>
      </c>
      <c r="Z57" s="14">
        <f t="shared" si="64"/>
        <v>0</v>
      </c>
      <c r="AB57" s="4">
        <f t="shared" si="65"/>
        <v>0</v>
      </c>
      <c r="AC57" s="4">
        <f t="shared" si="66"/>
        <v>0</v>
      </c>
      <c r="AD57" s="4">
        <f t="shared" si="67"/>
        <v>0</v>
      </c>
      <c r="AE57" s="4">
        <f t="shared" si="68"/>
        <v>0</v>
      </c>
      <c r="AF57" s="4">
        <f t="shared" si="69"/>
        <v>0</v>
      </c>
      <c r="AG57" s="4">
        <f t="shared" si="70"/>
        <v>0</v>
      </c>
      <c r="AH57" s="4">
        <f t="shared" si="71"/>
        <v>0</v>
      </c>
      <c r="AI57" s="4">
        <f t="shared" si="72"/>
        <v>0</v>
      </c>
      <c r="AJ57" s="4">
        <f t="shared" si="73"/>
        <v>0</v>
      </c>
      <c r="AK57" s="4">
        <f t="shared" si="74"/>
        <v>0</v>
      </c>
      <c r="AM57" s="4">
        <f t="shared" si="75"/>
        <v>0</v>
      </c>
      <c r="AN57" s="4">
        <f t="shared" si="76"/>
        <v>0</v>
      </c>
      <c r="AO57" s="4">
        <f t="shared" si="77"/>
        <v>0</v>
      </c>
      <c r="AP57" s="4">
        <f t="shared" si="78"/>
        <v>0</v>
      </c>
      <c r="AQ57" s="4">
        <f t="shared" si="79"/>
        <v>0</v>
      </c>
      <c r="AR57" s="4">
        <f t="shared" si="80"/>
        <v>0</v>
      </c>
      <c r="AS57" s="4">
        <f t="shared" si="81"/>
        <v>0</v>
      </c>
      <c r="AT57" s="4">
        <f t="shared" si="82"/>
        <v>0</v>
      </c>
      <c r="AU57" s="4">
        <f t="shared" si="83"/>
        <v>0</v>
      </c>
      <c r="AV57" s="35">
        <v>10</v>
      </c>
      <c r="AW57" s="34" t="str">
        <f>VLOOKUP($AV57,Dummy!$A:$R,2,FALSE)</f>
        <v>França</v>
      </c>
      <c r="AX57" s="32">
        <f>VLOOKUP($AV57,Dummy!$A:$R,3,FALSE)</f>
        <v>0</v>
      </c>
      <c r="AY57" s="32">
        <f>VLOOKUP($AV57,Dummy!$A:$R,4,FALSE)</f>
        <v>0</v>
      </c>
      <c r="AZ57" s="32">
        <f>VLOOKUP($AV57,Dummy!$A:$R,5,FALSE)</f>
        <v>0</v>
      </c>
      <c r="BA57" s="32">
        <f>VLOOKUP($AV57,Dummy!$A:$R,6,FALSE)</f>
        <v>0</v>
      </c>
      <c r="BB57" s="32">
        <f>VLOOKUP($AV57,Dummy!$A:$R,7,FALSE)</f>
        <v>0</v>
      </c>
      <c r="BC57" s="32">
        <f>VLOOKUP($AV57,Dummy!$A:$R,8,FALSE)</f>
        <v>0</v>
      </c>
      <c r="BD57" s="32">
        <f>VLOOKUP($AV57,Dummy!$A:$R,9,FALSE)</f>
        <v>0</v>
      </c>
      <c r="BE57" s="32">
        <f>VLOOKUP($AV57,Dummy!$A:$R,10,FALSE)</f>
        <v>0</v>
      </c>
      <c r="BF57" s="32">
        <f>VLOOKUP($AV57,Dummy!$A:$R,11,FALSE)</f>
        <v>0</v>
      </c>
      <c r="BG57" s="32">
        <f>VLOOKUP($AV57,Dummy!$A:$R,12,FALSE)</f>
        <v>0</v>
      </c>
      <c r="BH57" s="32">
        <f>VLOOKUP($AV57,Dummy!$A:$R,13,FALSE)</f>
        <v>0</v>
      </c>
      <c r="BI57" s="32">
        <f>VLOOKUP($AV57,Dummy!$A:$R,14,FALSE)</f>
        <v>0</v>
      </c>
      <c r="BJ57" s="33" t="str">
        <f>VLOOKUP($AV57,Dummy!$A:$R,15,FALSE)</f>
        <v>MAX</v>
      </c>
      <c r="BK57" s="32">
        <f>VLOOKUP($AV57,Dummy!$A:$R,16,FALSE)</f>
        <v>0</v>
      </c>
      <c r="BL57" s="32">
        <f>VLOOKUP($AV57,Dummy!$A:$R,17,FALSE)</f>
        <v>0</v>
      </c>
      <c r="BM57" s="33" t="str">
        <f>VLOOKUP($AV57,Dummy!$A:$R,18,FALSE)</f>
        <v>MAX</v>
      </c>
    </row>
    <row r="58" spans="2:65" x14ac:dyDescent="0.25">
      <c r="B58" s="17">
        <v>45830</v>
      </c>
      <c r="C58" s="21">
        <v>0.52083333333333337</v>
      </c>
      <c r="D58" s="29" t="s">
        <v>49</v>
      </c>
      <c r="E58" s="37"/>
      <c r="F58" s="11" t="s">
        <v>7</v>
      </c>
      <c r="G58" s="38"/>
      <c r="H58" s="25" t="s">
        <v>52</v>
      </c>
      <c r="I58" s="37"/>
      <c r="J58" s="11" t="s">
        <v>7</v>
      </c>
      <c r="K58" s="38"/>
      <c r="L58" s="37"/>
      <c r="M58" s="11" t="s">
        <v>7</v>
      </c>
      <c r="N58" s="38"/>
      <c r="O58" s="37"/>
      <c r="P58" s="11" t="s">
        <v>7</v>
      </c>
      <c r="Q58" s="38"/>
      <c r="R58" s="37"/>
      <c r="S58" s="11" t="s">
        <v>7</v>
      </c>
      <c r="T58" s="38"/>
      <c r="U58" s="37"/>
      <c r="V58" s="11" t="s">
        <v>7</v>
      </c>
      <c r="W58" s="38"/>
      <c r="X58" s="12">
        <f t="shared" si="63"/>
        <v>0</v>
      </c>
      <c r="Y58" s="13" t="s">
        <v>7</v>
      </c>
      <c r="Z58" s="14">
        <f t="shared" si="64"/>
        <v>0</v>
      </c>
      <c r="AB58" s="4">
        <f t="shared" si="65"/>
        <v>0</v>
      </c>
      <c r="AC58" s="4">
        <f t="shared" si="66"/>
        <v>0</v>
      </c>
      <c r="AD58" s="4">
        <f t="shared" si="67"/>
        <v>0</v>
      </c>
      <c r="AE58" s="4">
        <f t="shared" si="68"/>
        <v>0</v>
      </c>
      <c r="AF58" s="4">
        <f t="shared" si="69"/>
        <v>0</v>
      </c>
      <c r="AG58" s="4">
        <f t="shared" si="70"/>
        <v>0</v>
      </c>
      <c r="AH58" s="4">
        <f t="shared" si="71"/>
        <v>0</v>
      </c>
      <c r="AI58" s="4">
        <f t="shared" si="72"/>
        <v>0</v>
      </c>
      <c r="AJ58" s="4">
        <f t="shared" si="73"/>
        <v>0</v>
      </c>
      <c r="AK58" s="4">
        <f t="shared" si="74"/>
        <v>0</v>
      </c>
      <c r="AM58" s="4">
        <f t="shared" si="75"/>
        <v>0</v>
      </c>
      <c r="AN58" s="4">
        <f t="shared" si="76"/>
        <v>0</v>
      </c>
      <c r="AO58" s="4">
        <f t="shared" si="77"/>
        <v>0</v>
      </c>
      <c r="AP58" s="4">
        <f t="shared" si="78"/>
        <v>0</v>
      </c>
      <c r="AQ58" s="4">
        <f t="shared" si="79"/>
        <v>0</v>
      </c>
      <c r="AR58" s="4">
        <f t="shared" si="80"/>
        <v>0</v>
      </c>
      <c r="AS58" s="4">
        <f t="shared" si="81"/>
        <v>0</v>
      </c>
      <c r="AT58" s="4">
        <f t="shared" si="82"/>
        <v>0</v>
      </c>
      <c r="AU58" s="4">
        <f t="shared" si="83"/>
        <v>0</v>
      </c>
      <c r="AV58" s="35">
        <v>11</v>
      </c>
      <c r="AW58" s="34" t="str">
        <f>VLOOKUP($AV58,Dummy!$A:$R,2,FALSE)</f>
        <v>Itália</v>
      </c>
      <c r="AX58" s="32">
        <f>VLOOKUP($AV58,Dummy!$A:$R,3,FALSE)</f>
        <v>0</v>
      </c>
      <c r="AY58" s="32">
        <f>VLOOKUP($AV58,Dummy!$A:$R,4,FALSE)</f>
        <v>0</v>
      </c>
      <c r="AZ58" s="32">
        <f>VLOOKUP($AV58,Dummy!$A:$R,5,FALSE)</f>
        <v>0</v>
      </c>
      <c r="BA58" s="32">
        <f>VLOOKUP($AV58,Dummy!$A:$R,6,FALSE)</f>
        <v>0</v>
      </c>
      <c r="BB58" s="32">
        <f>VLOOKUP($AV58,Dummy!$A:$R,7,FALSE)</f>
        <v>0</v>
      </c>
      <c r="BC58" s="32">
        <f>VLOOKUP($AV58,Dummy!$A:$R,8,FALSE)</f>
        <v>0</v>
      </c>
      <c r="BD58" s="32">
        <f>VLOOKUP($AV58,Dummy!$A:$R,9,FALSE)</f>
        <v>0</v>
      </c>
      <c r="BE58" s="32">
        <f>VLOOKUP($AV58,Dummy!$A:$R,10,FALSE)</f>
        <v>0</v>
      </c>
      <c r="BF58" s="32">
        <f>VLOOKUP($AV58,Dummy!$A:$R,11,FALSE)</f>
        <v>0</v>
      </c>
      <c r="BG58" s="32">
        <f>VLOOKUP($AV58,Dummy!$A:$R,12,FALSE)</f>
        <v>0</v>
      </c>
      <c r="BH58" s="32">
        <f>VLOOKUP($AV58,Dummy!$A:$R,13,FALSE)</f>
        <v>0</v>
      </c>
      <c r="BI58" s="32">
        <f>VLOOKUP($AV58,Dummy!$A:$R,14,FALSE)</f>
        <v>0</v>
      </c>
      <c r="BJ58" s="33" t="str">
        <f>VLOOKUP($AV58,Dummy!$A:$R,15,FALSE)</f>
        <v>MAX</v>
      </c>
      <c r="BK58" s="32">
        <f>VLOOKUP($AV58,Dummy!$A:$R,16,FALSE)</f>
        <v>0</v>
      </c>
      <c r="BL58" s="32">
        <f>VLOOKUP($AV58,Dummy!$A:$R,17,FALSE)</f>
        <v>0</v>
      </c>
      <c r="BM58" s="33" t="str">
        <f>VLOOKUP($AV58,Dummy!$A:$R,18,FALSE)</f>
        <v>MAX</v>
      </c>
    </row>
    <row r="59" spans="2:65" x14ac:dyDescent="0.25">
      <c r="B59" s="17">
        <v>45830</v>
      </c>
      <c r="C59" s="21">
        <v>0.66666666666666663</v>
      </c>
      <c r="D59" s="29" t="s">
        <v>55</v>
      </c>
      <c r="E59" s="37"/>
      <c r="F59" s="11" t="s">
        <v>7</v>
      </c>
      <c r="G59" s="38"/>
      <c r="H59" s="25" t="s">
        <v>57</v>
      </c>
      <c r="I59" s="37"/>
      <c r="J59" s="11" t="s">
        <v>7</v>
      </c>
      <c r="K59" s="38"/>
      <c r="L59" s="37"/>
      <c r="M59" s="11" t="s">
        <v>7</v>
      </c>
      <c r="N59" s="38"/>
      <c r="O59" s="37"/>
      <c r="P59" s="11" t="s">
        <v>7</v>
      </c>
      <c r="Q59" s="38"/>
      <c r="R59" s="37"/>
      <c r="S59" s="11" t="s">
        <v>7</v>
      </c>
      <c r="T59" s="38"/>
      <c r="U59" s="37"/>
      <c r="V59" s="11" t="s">
        <v>7</v>
      </c>
      <c r="W59" s="38"/>
      <c r="X59" s="12">
        <f t="shared" si="63"/>
        <v>0</v>
      </c>
      <c r="Y59" s="13" t="s">
        <v>7</v>
      </c>
      <c r="Z59" s="14">
        <f t="shared" si="64"/>
        <v>0</v>
      </c>
      <c r="AB59" s="4">
        <f t="shared" si="65"/>
        <v>0</v>
      </c>
      <c r="AC59" s="4">
        <f t="shared" si="66"/>
        <v>0</v>
      </c>
      <c r="AD59" s="4">
        <f t="shared" si="67"/>
        <v>0</v>
      </c>
      <c r="AE59" s="4">
        <f t="shared" si="68"/>
        <v>0</v>
      </c>
      <c r="AF59" s="4">
        <f t="shared" si="69"/>
        <v>0</v>
      </c>
      <c r="AG59" s="4">
        <f t="shared" si="70"/>
        <v>0</v>
      </c>
      <c r="AH59" s="4">
        <f t="shared" si="71"/>
        <v>0</v>
      </c>
      <c r="AI59" s="4">
        <f t="shared" si="72"/>
        <v>0</v>
      </c>
      <c r="AJ59" s="4">
        <f t="shared" si="73"/>
        <v>0</v>
      </c>
      <c r="AK59" s="4">
        <f t="shared" si="74"/>
        <v>0</v>
      </c>
      <c r="AM59" s="4">
        <f t="shared" si="75"/>
        <v>0</v>
      </c>
      <c r="AN59" s="4">
        <f t="shared" si="76"/>
        <v>0</v>
      </c>
      <c r="AO59" s="4">
        <f t="shared" si="77"/>
        <v>0</v>
      </c>
      <c r="AP59" s="4">
        <f t="shared" si="78"/>
        <v>0</v>
      </c>
      <c r="AQ59" s="4">
        <f t="shared" si="79"/>
        <v>0</v>
      </c>
      <c r="AR59" s="4">
        <f t="shared" si="80"/>
        <v>0</v>
      </c>
      <c r="AS59" s="4">
        <f t="shared" si="81"/>
        <v>0</v>
      </c>
      <c r="AT59" s="4">
        <f t="shared" si="82"/>
        <v>0</v>
      </c>
      <c r="AU59" s="4">
        <f t="shared" si="83"/>
        <v>0</v>
      </c>
      <c r="AV59" s="35">
        <v>12</v>
      </c>
      <c r="AW59" s="34" t="str">
        <f>VLOOKUP($AV59,Dummy!$A:$R,2,FALSE)</f>
        <v>Japão</v>
      </c>
      <c r="AX59" s="32">
        <f>VLOOKUP($AV59,Dummy!$A:$R,3,FALSE)</f>
        <v>0</v>
      </c>
      <c r="AY59" s="32">
        <f>VLOOKUP($AV59,Dummy!$A:$R,4,FALSE)</f>
        <v>0</v>
      </c>
      <c r="AZ59" s="32">
        <f>VLOOKUP($AV59,Dummy!$A:$R,5,FALSE)</f>
        <v>0</v>
      </c>
      <c r="BA59" s="32">
        <f>VLOOKUP($AV59,Dummy!$A:$R,6,FALSE)</f>
        <v>0</v>
      </c>
      <c r="BB59" s="32">
        <f>VLOOKUP($AV59,Dummy!$A:$R,7,FALSE)</f>
        <v>0</v>
      </c>
      <c r="BC59" s="32">
        <f>VLOOKUP($AV59,Dummy!$A:$R,8,FALSE)</f>
        <v>0</v>
      </c>
      <c r="BD59" s="32">
        <f>VLOOKUP($AV59,Dummy!$A:$R,9,FALSE)</f>
        <v>0</v>
      </c>
      <c r="BE59" s="32">
        <f>VLOOKUP($AV59,Dummy!$A:$R,10,FALSE)</f>
        <v>0</v>
      </c>
      <c r="BF59" s="32">
        <f>VLOOKUP($AV59,Dummy!$A:$R,11,FALSE)</f>
        <v>0</v>
      </c>
      <c r="BG59" s="32">
        <f>VLOOKUP($AV59,Dummy!$A:$R,12,FALSE)</f>
        <v>0</v>
      </c>
      <c r="BH59" s="32">
        <f>VLOOKUP($AV59,Dummy!$A:$R,13,FALSE)</f>
        <v>0</v>
      </c>
      <c r="BI59" s="32">
        <f>VLOOKUP($AV59,Dummy!$A:$R,14,FALSE)</f>
        <v>0</v>
      </c>
      <c r="BJ59" s="33" t="str">
        <f>VLOOKUP($AV59,Dummy!$A:$R,15,FALSE)</f>
        <v>MAX</v>
      </c>
      <c r="BK59" s="32">
        <f>VLOOKUP($AV59,Dummy!$A:$R,16,FALSE)</f>
        <v>0</v>
      </c>
      <c r="BL59" s="32">
        <f>VLOOKUP($AV59,Dummy!$A:$R,17,FALSE)</f>
        <v>0</v>
      </c>
      <c r="BM59" s="33" t="str">
        <f>VLOOKUP($AV59,Dummy!$A:$R,18,FALSE)</f>
        <v>MAX</v>
      </c>
    </row>
    <row r="60" spans="2:65" x14ac:dyDescent="0.25">
      <c r="B60" s="17">
        <v>45830</v>
      </c>
      <c r="C60" s="21">
        <v>0.8125</v>
      </c>
      <c r="D60" s="29" t="s">
        <v>31</v>
      </c>
      <c r="E60" s="37"/>
      <c r="F60" s="11" t="s">
        <v>7</v>
      </c>
      <c r="G60" s="38"/>
      <c r="H60" s="25" t="s">
        <v>50</v>
      </c>
      <c r="I60" s="37"/>
      <c r="J60" s="11" t="s">
        <v>7</v>
      </c>
      <c r="K60" s="38"/>
      <c r="L60" s="37"/>
      <c r="M60" s="11" t="s">
        <v>7</v>
      </c>
      <c r="N60" s="38"/>
      <c r="O60" s="37"/>
      <c r="P60" s="11" t="s">
        <v>7</v>
      </c>
      <c r="Q60" s="38"/>
      <c r="R60" s="37"/>
      <c r="S60" s="11" t="s">
        <v>7</v>
      </c>
      <c r="T60" s="38"/>
      <c r="U60" s="37"/>
      <c r="V60" s="11" t="s">
        <v>7</v>
      </c>
      <c r="W60" s="38"/>
      <c r="X60" s="12">
        <f t="shared" si="63"/>
        <v>0</v>
      </c>
      <c r="Y60" s="13" t="s">
        <v>7</v>
      </c>
      <c r="Z60" s="14">
        <f t="shared" si="64"/>
        <v>0</v>
      </c>
      <c r="AB60" s="4">
        <f t="shared" si="65"/>
        <v>0</v>
      </c>
      <c r="AC60" s="4">
        <f t="shared" si="66"/>
        <v>0</v>
      </c>
      <c r="AD60" s="4">
        <f t="shared" si="67"/>
        <v>0</v>
      </c>
      <c r="AE60" s="4">
        <f t="shared" si="68"/>
        <v>0</v>
      </c>
      <c r="AF60" s="4">
        <f t="shared" si="69"/>
        <v>0</v>
      </c>
      <c r="AG60" s="4">
        <f t="shared" si="70"/>
        <v>0</v>
      </c>
      <c r="AH60" s="4">
        <f t="shared" si="71"/>
        <v>0</v>
      </c>
      <c r="AI60" s="4">
        <f t="shared" si="72"/>
        <v>0</v>
      </c>
      <c r="AJ60" s="4">
        <f t="shared" si="73"/>
        <v>0</v>
      </c>
      <c r="AK60" s="4">
        <f t="shared" si="74"/>
        <v>0</v>
      </c>
      <c r="AM60" s="4">
        <f t="shared" si="75"/>
        <v>0</v>
      </c>
      <c r="AN60" s="4">
        <f t="shared" si="76"/>
        <v>0</v>
      </c>
      <c r="AO60" s="4">
        <f t="shared" si="77"/>
        <v>0</v>
      </c>
      <c r="AP60" s="4">
        <f t="shared" si="78"/>
        <v>0</v>
      </c>
      <c r="AQ60" s="4">
        <f t="shared" si="79"/>
        <v>0</v>
      </c>
      <c r="AR60" s="4">
        <f t="shared" si="80"/>
        <v>0</v>
      </c>
      <c r="AS60" s="4">
        <f t="shared" si="81"/>
        <v>0</v>
      </c>
      <c r="AT60" s="4">
        <f t="shared" si="82"/>
        <v>0</v>
      </c>
      <c r="AU60" s="4">
        <f t="shared" si="83"/>
        <v>0</v>
      </c>
      <c r="AV60" s="35">
        <v>13</v>
      </c>
      <c r="AW60" s="34" t="str">
        <f>VLOOKUP($AV60,Dummy!$A:$R,2,FALSE)</f>
        <v>Holanda</v>
      </c>
      <c r="AX60" s="32">
        <f>VLOOKUP($AV60,Dummy!$A:$R,3,FALSE)</f>
        <v>0</v>
      </c>
      <c r="AY60" s="32">
        <f>VLOOKUP($AV60,Dummy!$A:$R,4,FALSE)</f>
        <v>0</v>
      </c>
      <c r="AZ60" s="32">
        <f>VLOOKUP($AV60,Dummy!$A:$R,5,FALSE)</f>
        <v>0</v>
      </c>
      <c r="BA60" s="32">
        <f>VLOOKUP($AV60,Dummy!$A:$R,6,FALSE)</f>
        <v>0</v>
      </c>
      <c r="BB60" s="32">
        <f>VLOOKUP($AV60,Dummy!$A:$R,7,FALSE)</f>
        <v>0</v>
      </c>
      <c r="BC60" s="32">
        <f>VLOOKUP($AV60,Dummy!$A:$R,8,FALSE)</f>
        <v>0</v>
      </c>
      <c r="BD60" s="32">
        <f>VLOOKUP($AV60,Dummy!$A:$R,9,FALSE)</f>
        <v>0</v>
      </c>
      <c r="BE60" s="32">
        <f>VLOOKUP($AV60,Dummy!$A:$R,10,FALSE)</f>
        <v>0</v>
      </c>
      <c r="BF60" s="32">
        <f>VLOOKUP($AV60,Dummy!$A:$R,11,FALSE)</f>
        <v>0</v>
      </c>
      <c r="BG60" s="32">
        <f>VLOOKUP($AV60,Dummy!$A:$R,12,FALSE)</f>
        <v>0</v>
      </c>
      <c r="BH60" s="32">
        <f>VLOOKUP($AV60,Dummy!$A:$R,13,FALSE)</f>
        <v>0</v>
      </c>
      <c r="BI60" s="32">
        <f>VLOOKUP($AV60,Dummy!$A:$R,14,FALSE)</f>
        <v>0</v>
      </c>
      <c r="BJ60" s="33" t="str">
        <f>VLOOKUP($AV60,Dummy!$A:$R,15,FALSE)</f>
        <v>MAX</v>
      </c>
      <c r="BK60" s="32">
        <f>VLOOKUP($AV60,Dummy!$A:$R,16,FALSE)</f>
        <v>0</v>
      </c>
      <c r="BL60" s="32">
        <f>VLOOKUP($AV60,Dummy!$A:$R,17,FALSE)</f>
        <v>0</v>
      </c>
      <c r="BM60" s="33" t="str">
        <f>VLOOKUP($AV60,Dummy!$A:$R,18,FALSE)</f>
        <v>MAX</v>
      </c>
    </row>
    <row r="61" spans="2:65" ht="14.25" x14ac:dyDescent="0.25">
      <c r="B61" s="66" t="s">
        <v>70</v>
      </c>
      <c r="C61" s="66"/>
      <c r="D61" s="66"/>
      <c r="E61" s="66"/>
      <c r="F61" s="69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V61" s="35">
        <v>14</v>
      </c>
      <c r="AW61" s="34" t="str">
        <f>VLOOKUP($AV61,Dummy!$A:$R,2,FALSE)</f>
        <v>Polônia</v>
      </c>
      <c r="AX61" s="32">
        <f>VLOOKUP($AV61,Dummy!$A:$R,3,FALSE)</f>
        <v>0</v>
      </c>
      <c r="AY61" s="32">
        <f>VLOOKUP($AV61,Dummy!$A:$R,4,FALSE)</f>
        <v>0</v>
      </c>
      <c r="AZ61" s="32">
        <f>VLOOKUP($AV61,Dummy!$A:$R,5,FALSE)</f>
        <v>0</v>
      </c>
      <c r="BA61" s="32">
        <f>VLOOKUP($AV61,Dummy!$A:$R,6,FALSE)</f>
        <v>0</v>
      </c>
      <c r="BB61" s="32">
        <f>VLOOKUP($AV61,Dummy!$A:$R,7,FALSE)</f>
        <v>0</v>
      </c>
      <c r="BC61" s="32">
        <f>VLOOKUP($AV61,Dummy!$A:$R,8,FALSE)</f>
        <v>0</v>
      </c>
      <c r="BD61" s="32">
        <f>VLOOKUP($AV61,Dummy!$A:$R,9,FALSE)</f>
        <v>0</v>
      </c>
      <c r="BE61" s="32">
        <f>VLOOKUP($AV61,Dummy!$A:$R,10,FALSE)</f>
        <v>0</v>
      </c>
      <c r="BF61" s="32">
        <f>VLOOKUP($AV61,Dummy!$A:$R,11,FALSE)</f>
        <v>0</v>
      </c>
      <c r="BG61" s="32">
        <f>VLOOKUP($AV61,Dummy!$A:$R,12,FALSE)</f>
        <v>0</v>
      </c>
      <c r="BH61" s="32">
        <f>VLOOKUP($AV61,Dummy!$A:$R,13,FALSE)</f>
        <v>0</v>
      </c>
      <c r="BI61" s="32">
        <f>VLOOKUP($AV61,Dummy!$A:$R,14,FALSE)</f>
        <v>0</v>
      </c>
      <c r="BJ61" s="33" t="str">
        <f>VLOOKUP($AV61,Dummy!$A:$R,15,FALSE)</f>
        <v>MAX</v>
      </c>
      <c r="BK61" s="32">
        <f>VLOOKUP($AV61,Dummy!$A:$R,16,FALSE)</f>
        <v>0</v>
      </c>
      <c r="BL61" s="32">
        <f>VLOOKUP($AV61,Dummy!$A:$R,17,FALSE)</f>
        <v>0</v>
      </c>
      <c r="BM61" s="33" t="str">
        <f>VLOOKUP($AV61,Dummy!$A:$R,18,FALSE)</f>
        <v>MAX</v>
      </c>
    </row>
    <row r="62" spans="2:65" x14ac:dyDescent="0.25">
      <c r="B62" s="16" t="s">
        <v>2</v>
      </c>
      <c r="C62" s="20" t="s">
        <v>3</v>
      </c>
      <c r="D62" s="28"/>
      <c r="E62" s="68" t="s">
        <v>4</v>
      </c>
      <c r="F62" s="68"/>
      <c r="G62" s="68"/>
      <c r="H62" s="24"/>
      <c r="I62" s="68" t="s">
        <v>5</v>
      </c>
      <c r="J62" s="68"/>
      <c r="K62" s="68"/>
      <c r="L62" s="68" t="s">
        <v>6</v>
      </c>
      <c r="M62" s="68"/>
      <c r="N62" s="68"/>
      <c r="O62" s="68" t="s">
        <v>8</v>
      </c>
      <c r="P62" s="68"/>
      <c r="Q62" s="68"/>
      <c r="R62" s="68" t="s">
        <v>9</v>
      </c>
      <c r="S62" s="68"/>
      <c r="T62" s="68"/>
      <c r="U62" s="68" t="s">
        <v>10</v>
      </c>
      <c r="V62" s="68"/>
      <c r="W62" s="68"/>
      <c r="X62" s="68" t="s">
        <v>11</v>
      </c>
      <c r="Y62" s="68"/>
      <c r="Z62" s="68"/>
      <c r="AB62" s="4" t="s">
        <v>39</v>
      </c>
      <c r="AC62" s="4" t="s">
        <v>24</v>
      </c>
      <c r="AD62" s="4" t="s">
        <v>21</v>
      </c>
      <c r="AE62" s="4" t="s">
        <v>19</v>
      </c>
      <c r="AF62" s="4" t="s">
        <v>20</v>
      </c>
      <c r="AG62" s="4" t="s">
        <v>16</v>
      </c>
      <c r="AH62" s="8" t="s">
        <v>18</v>
      </c>
      <c r="AI62" s="8" t="s">
        <v>17</v>
      </c>
      <c r="AJ62" s="4" t="s">
        <v>22</v>
      </c>
      <c r="AK62" s="4" t="s">
        <v>23</v>
      </c>
      <c r="AM62" s="4" t="s">
        <v>25</v>
      </c>
      <c r="AN62" s="4" t="s">
        <v>26</v>
      </c>
      <c r="AO62" s="4" t="s">
        <v>19</v>
      </c>
      <c r="AP62" s="4" t="s">
        <v>20</v>
      </c>
      <c r="AQ62" s="8" t="s">
        <v>32</v>
      </c>
      <c r="AR62" s="8" t="s">
        <v>33</v>
      </c>
      <c r="AS62" s="8" t="s">
        <v>34</v>
      </c>
      <c r="AT62" s="4" t="s">
        <v>22</v>
      </c>
      <c r="AU62" s="4" t="s">
        <v>23</v>
      </c>
      <c r="AV62" s="35">
        <v>15</v>
      </c>
      <c r="AW62" s="34" t="str">
        <f>VLOOKUP($AV62,Dummy!$A:$R,2,FALSE)</f>
        <v>República Dominicana</v>
      </c>
      <c r="AX62" s="32">
        <f>VLOOKUP($AV62,Dummy!$A:$R,3,FALSE)</f>
        <v>0</v>
      </c>
      <c r="AY62" s="32">
        <f>VLOOKUP($AV62,Dummy!$A:$R,4,FALSE)</f>
        <v>0</v>
      </c>
      <c r="AZ62" s="32">
        <f>VLOOKUP($AV62,Dummy!$A:$R,5,FALSE)</f>
        <v>0</v>
      </c>
      <c r="BA62" s="32">
        <f>VLOOKUP($AV62,Dummy!$A:$R,6,FALSE)</f>
        <v>0</v>
      </c>
      <c r="BB62" s="32">
        <f>VLOOKUP($AV62,Dummy!$A:$R,7,FALSE)</f>
        <v>0</v>
      </c>
      <c r="BC62" s="32">
        <f>VLOOKUP($AV62,Dummy!$A:$R,8,FALSE)</f>
        <v>0</v>
      </c>
      <c r="BD62" s="32">
        <f>VLOOKUP($AV62,Dummy!$A:$R,9,FALSE)</f>
        <v>0</v>
      </c>
      <c r="BE62" s="32">
        <f>VLOOKUP($AV62,Dummy!$A:$R,10,FALSE)</f>
        <v>0</v>
      </c>
      <c r="BF62" s="32">
        <f>VLOOKUP($AV62,Dummy!$A:$R,11,FALSE)</f>
        <v>0</v>
      </c>
      <c r="BG62" s="32">
        <f>VLOOKUP($AV62,Dummy!$A:$R,12,FALSE)</f>
        <v>0</v>
      </c>
      <c r="BH62" s="32">
        <f>VLOOKUP($AV62,Dummy!$A:$R,13,FALSE)</f>
        <v>0</v>
      </c>
      <c r="BI62" s="32">
        <f>VLOOKUP($AV62,Dummy!$A:$R,14,FALSE)</f>
        <v>0</v>
      </c>
      <c r="BJ62" s="33" t="str">
        <f>VLOOKUP($AV62,Dummy!$A:$R,15,FALSE)</f>
        <v>MAX</v>
      </c>
      <c r="BK62" s="32">
        <f>VLOOKUP($AV62,Dummy!$A:$R,16,FALSE)</f>
        <v>0</v>
      </c>
      <c r="BL62" s="32">
        <f>VLOOKUP($AV62,Dummy!$A:$R,17,FALSE)</f>
        <v>0</v>
      </c>
      <c r="BM62" s="33" t="str">
        <f>VLOOKUP($AV62,Dummy!$A:$R,18,FALSE)</f>
        <v>MAX</v>
      </c>
    </row>
    <row r="63" spans="2:65" x14ac:dyDescent="0.25">
      <c r="B63" s="18">
        <v>45826</v>
      </c>
      <c r="C63" s="22">
        <v>0.5625</v>
      </c>
      <c r="D63" s="30" t="s">
        <v>51</v>
      </c>
      <c r="E63" s="37"/>
      <c r="F63" s="11" t="s">
        <v>7</v>
      </c>
      <c r="G63" s="38"/>
      <c r="H63" s="26" t="s">
        <v>40</v>
      </c>
      <c r="I63" s="37"/>
      <c r="J63" s="11" t="s">
        <v>7</v>
      </c>
      <c r="K63" s="38"/>
      <c r="L63" s="37"/>
      <c r="M63" s="11" t="s">
        <v>7</v>
      </c>
      <c r="N63" s="38"/>
      <c r="O63" s="37"/>
      <c r="P63" s="11" t="s">
        <v>7</v>
      </c>
      <c r="Q63" s="38"/>
      <c r="R63" s="37"/>
      <c r="S63" s="11" t="s">
        <v>7</v>
      </c>
      <c r="T63" s="38"/>
      <c r="U63" s="37"/>
      <c r="V63" s="11" t="s">
        <v>7</v>
      </c>
      <c r="W63" s="38"/>
      <c r="X63" s="12">
        <f>SUM(I63,L63,O63,R63,U63)</f>
        <v>0</v>
      </c>
      <c r="Y63" s="13" t="s">
        <v>7</v>
      </c>
      <c r="Z63" s="14">
        <f>SUM(K63,N63,Q63,T63,W63)</f>
        <v>0</v>
      </c>
      <c r="AB63" s="4">
        <f t="shared" ref="AB63:AB74" si="84">AE63+AF63</f>
        <v>0</v>
      </c>
      <c r="AC63" s="4">
        <f t="shared" ref="AC63:AC74" si="85">IF(OR(E63="",G63=""),0,IF(E63&gt;G63,D63,H63))</f>
        <v>0</v>
      </c>
      <c r="AD63" s="4">
        <f t="shared" ref="AD63:AD74" si="86">IF(OR(E63="",G63=""),0,1)</f>
        <v>0</v>
      </c>
      <c r="AE63" s="4">
        <f t="shared" ref="AE63:AE74" si="87">IF(OR(E63="",G63=""),0,IF(E63&gt;G63,E63,G63))</f>
        <v>0</v>
      </c>
      <c r="AF63" s="4">
        <f t="shared" ref="AF63:AF74" si="88">IF(OR(E63="",G63=""),0,IF(E63&gt;G63,G63,E63))</f>
        <v>0</v>
      </c>
      <c r="AG63" s="4">
        <f t="shared" ref="AG63:AG74" si="89">IF(AND(AE63=3,AF63=0),1,0)</f>
        <v>0</v>
      </c>
      <c r="AH63" s="4">
        <f t="shared" ref="AH63:AH74" si="90">IF(AND(AE63=3,AF63=1),1,0)</f>
        <v>0</v>
      </c>
      <c r="AI63" s="4">
        <f t="shared" ref="AI63:AI74" si="91">IF(AND(AE63=3,AF63=2),1,0)</f>
        <v>0</v>
      </c>
      <c r="AJ63" s="4">
        <f t="shared" ref="AJ63:AJ74" si="92">IF(E63&gt;G63,SUM(I63,L63,O63,R63,U63,),SUM(K63,N63,Q63,T63,W63))</f>
        <v>0</v>
      </c>
      <c r="AK63" s="4">
        <f t="shared" ref="AK63:AK74" si="93">IF(E63&gt;G63,SUM(K63,N63,Q63,T63,W63),SUM(I63,L63,O63,R63,U63))</f>
        <v>0</v>
      </c>
      <c r="AM63" s="4">
        <f t="shared" ref="AM63:AM74" si="94">IF(OR(E63="",G63=""),0,IF(E63&lt;G63,D63,H63))</f>
        <v>0</v>
      </c>
      <c r="AN63" s="4">
        <f t="shared" ref="AN63:AN74" si="95">IF(OR(E63="",G63=""),0,1)</f>
        <v>0</v>
      </c>
      <c r="AO63" s="4">
        <f t="shared" ref="AO63:AO74" si="96">IF(OR(E63="",G63=""),0,IF(E63&lt;G63,E63,G63))</f>
        <v>0</v>
      </c>
      <c r="AP63" s="4">
        <f t="shared" ref="AP63:AP74" si="97">IF(OR(E63="",G63=""),0,IF(E63&lt;G63,G63,E63))</f>
        <v>0</v>
      </c>
      <c r="AQ63" s="4">
        <f t="shared" ref="AQ63:AQ74" si="98">IF(AND(AO63=2,AP63=3),1,0)</f>
        <v>0</v>
      </c>
      <c r="AR63" s="4">
        <f t="shared" ref="AR63:AR74" si="99">IF(AND(AO63=1,AP63=3),1,0)</f>
        <v>0</v>
      </c>
      <c r="AS63" s="4">
        <f t="shared" ref="AS63:AS74" si="100">IF(AND(AO63=0,AP63=3),1,0)</f>
        <v>0</v>
      </c>
      <c r="AT63" s="4">
        <f t="shared" ref="AT63:AT74" si="101">IF(E63&lt;G63,SUM(I63,L63,O63,R63,U63,),SUM(K63,N63,Q63,T63,W63))</f>
        <v>0</v>
      </c>
      <c r="AU63" s="4">
        <f t="shared" ref="AU63:AU74" si="102">IF(E63&lt;G63,SUM(K63,N63,Q63,T63,W63),SUM(I63,L63,O63,R63,U63))</f>
        <v>0</v>
      </c>
      <c r="AV63" s="35">
        <v>16</v>
      </c>
      <c r="AW63" s="34" t="str">
        <f>VLOOKUP($AV63,Dummy!$A:$R,2,FALSE)</f>
        <v>Sérvia</v>
      </c>
      <c r="AX63" s="32">
        <f>VLOOKUP($AV63,Dummy!$A:$R,3,FALSE)</f>
        <v>0</v>
      </c>
      <c r="AY63" s="32">
        <f>VLOOKUP($AV63,Dummy!$A:$R,4,FALSE)</f>
        <v>0</v>
      </c>
      <c r="AZ63" s="32">
        <f>VLOOKUP($AV63,Dummy!$A:$R,5,FALSE)</f>
        <v>0</v>
      </c>
      <c r="BA63" s="32">
        <f>VLOOKUP($AV63,Dummy!$A:$R,6,FALSE)</f>
        <v>0</v>
      </c>
      <c r="BB63" s="32">
        <f>VLOOKUP($AV63,Dummy!$A:$R,7,FALSE)</f>
        <v>0</v>
      </c>
      <c r="BC63" s="32">
        <f>VLOOKUP($AV63,Dummy!$A:$R,8,FALSE)</f>
        <v>0</v>
      </c>
      <c r="BD63" s="32">
        <f>VLOOKUP($AV63,Dummy!$A:$R,9,FALSE)</f>
        <v>0</v>
      </c>
      <c r="BE63" s="32">
        <f>VLOOKUP($AV63,Dummy!$A:$R,10,FALSE)</f>
        <v>0</v>
      </c>
      <c r="BF63" s="32">
        <f>VLOOKUP($AV63,Dummy!$A:$R,11,FALSE)</f>
        <v>0</v>
      </c>
      <c r="BG63" s="32">
        <f>VLOOKUP($AV63,Dummy!$A:$R,12,FALSE)</f>
        <v>0</v>
      </c>
      <c r="BH63" s="32">
        <f>VLOOKUP($AV63,Dummy!$A:$R,13,FALSE)</f>
        <v>0</v>
      </c>
      <c r="BI63" s="32">
        <f>VLOOKUP($AV63,Dummy!$A:$R,14,FALSE)</f>
        <v>0</v>
      </c>
      <c r="BJ63" s="33" t="str">
        <f>VLOOKUP($AV63,Dummy!$A:$R,15,FALSE)</f>
        <v>MAX</v>
      </c>
      <c r="BK63" s="32">
        <f>VLOOKUP($AV63,Dummy!$A:$R,16,FALSE)</f>
        <v>0</v>
      </c>
      <c r="BL63" s="32">
        <f>VLOOKUP($AV63,Dummy!$A:$R,17,FALSE)</f>
        <v>0</v>
      </c>
      <c r="BM63" s="33" t="str">
        <f>VLOOKUP($AV63,Dummy!$A:$R,18,FALSE)</f>
        <v>MAX</v>
      </c>
    </row>
    <row r="64" spans="2:65" x14ac:dyDescent="0.25">
      <c r="B64" s="18">
        <v>45826</v>
      </c>
      <c r="C64" s="22">
        <v>0.70833333333333337</v>
      </c>
      <c r="D64" s="30" t="s">
        <v>59</v>
      </c>
      <c r="E64" s="42"/>
      <c r="F64" s="11" t="s">
        <v>7</v>
      </c>
      <c r="G64" s="41"/>
      <c r="H64" s="26" t="s">
        <v>30</v>
      </c>
      <c r="I64" s="37"/>
      <c r="J64" s="11" t="s">
        <v>7</v>
      </c>
      <c r="K64" s="38"/>
      <c r="L64" s="37"/>
      <c r="M64" s="11" t="s">
        <v>7</v>
      </c>
      <c r="N64" s="38"/>
      <c r="O64" s="37"/>
      <c r="P64" s="11" t="s">
        <v>7</v>
      </c>
      <c r="Q64" s="38"/>
      <c r="R64" s="37"/>
      <c r="S64" s="11" t="s">
        <v>7</v>
      </c>
      <c r="T64" s="38"/>
      <c r="U64" s="37"/>
      <c r="V64" s="11" t="s">
        <v>7</v>
      </c>
      <c r="W64" s="38"/>
      <c r="X64" s="12">
        <f t="shared" ref="X64:X74" si="103">SUM(I64,L64,O64,R64,U64)</f>
        <v>0</v>
      </c>
      <c r="Y64" s="13" t="s">
        <v>7</v>
      </c>
      <c r="Z64" s="14">
        <f t="shared" ref="Z64:Z74" si="104">SUM(K64,N64,Q64,T64,W64)</f>
        <v>0</v>
      </c>
      <c r="AB64" s="4">
        <f t="shared" si="84"/>
        <v>0</v>
      </c>
      <c r="AC64" s="4">
        <f t="shared" si="85"/>
        <v>0</v>
      </c>
      <c r="AD64" s="4">
        <f t="shared" si="86"/>
        <v>0</v>
      </c>
      <c r="AE64" s="4">
        <f t="shared" si="87"/>
        <v>0</v>
      </c>
      <c r="AF64" s="4">
        <f t="shared" si="88"/>
        <v>0</v>
      </c>
      <c r="AG64" s="4">
        <f t="shared" si="89"/>
        <v>0</v>
      </c>
      <c r="AH64" s="4">
        <f t="shared" si="90"/>
        <v>0</v>
      </c>
      <c r="AI64" s="4">
        <f t="shared" si="91"/>
        <v>0</v>
      </c>
      <c r="AJ64" s="4">
        <f t="shared" si="92"/>
        <v>0</v>
      </c>
      <c r="AK64" s="4">
        <f t="shared" si="93"/>
        <v>0</v>
      </c>
      <c r="AM64" s="4">
        <f t="shared" si="94"/>
        <v>0</v>
      </c>
      <c r="AN64" s="4">
        <f t="shared" si="95"/>
        <v>0</v>
      </c>
      <c r="AO64" s="4">
        <f t="shared" si="96"/>
        <v>0</v>
      </c>
      <c r="AP64" s="4">
        <f t="shared" si="97"/>
        <v>0</v>
      </c>
      <c r="AQ64" s="4">
        <f t="shared" si="98"/>
        <v>0</v>
      </c>
      <c r="AR64" s="4">
        <f t="shared" si="99"/>
        <v>0</v>
      </c>
      <c r="AS64" s="4">
        <f t="shared" si="100"/>
        <v>0</v>
      </c>
      <c r="AT64" s="4">
        <f t="shared" si="101"/>
        <v>0</v>
      </c>
      <c r="AU64" s="4">
        <f t="shared" si="102"/>
        <v>0</v>
      </c>
      <c r="AV64" s="35">
        <v>17</v>
      </c>
      <c r="AW64" s="34" t="str">
        <f>VLOOKUP($AV64,Dummy!$A:$R,2,FALSE)</f>
        <v>Tailândia</v>
      </c>
      <c r="AX64" s="32">
        <f>VLOOKUP($AV64,Dummy!$A:$R,3,FALSE)</f>
        <v>0</v>
      </c>
      <c r="AY64" s="32">
        <f>VLOOKUP($AV64,Dummy!$A:$R,4,FALSE)</f>
        <v>0</v>
      </c>
      <c r="AZ64" s="32">
        <f>VLOOKUP($AV64,Dummy!$A:$R,5,FALSE)</f>
        <v>0</v>
      </c>
      <c r="BA64" s="32">
        <f>VLOOKUP($AV64,Dummy!$A:$R,6,FALSE)</f>
        <v>0</v>
      </c>
      <c r="BB64" s="32">
        <f>VLOOKUP($AV64,Dummy!$A:$R,7,FALSE)</f>
        <v>0</v>
      </c>
      <c r="BC64" s="32">
        <f>VLOOKUP($AV64,Dummy!$A:$R,8,FALSE)</f>
        <v>0</v>
      </c>
      <c r="BD64" s="32">
        <f>VLOOKUP($AV64,Dummy!$A:$R,9,FALSE)</f>
        <v>0</v>
      </c>
      <c r="BE64" s="32">
        <f>VLOOKUP($AV64,Dummy!$A:$R,10,FALSE)</f>
        <v>0</v>
      </c>
      <c r="BF64" s="32">
        <f>VLOOKUP($AV64,Dummy!$A:$R,11,FALSE)</f>
        <v>0</v>
      </c>
      <c r="BG64" s="32">
        <f>VLOOKUP($AV64,Dummy!$A:$R,12,FALSE)</f>
        <v>0</v>
      </c>
      <c r="BH64" s="32">
        <f>VLOOKUP($AV64,Dummy!$A:$R,13,FALSE)</f>
        <v>0</v>
      </c>
      <c r="BI64" s="32">
        <f>VLOOKUP($AV64,Dummy!$A:$R,14,FALSE)</f>
        <v>0</v>
      </c>
      <c r="BJ64" s="33" t="str">
        <f>VLOOKUP($AV64,Dummy!$A:$R,15,FALSE)</f>
        <v>MAX</v>
      </c>
      <c r="BK64" s="32">
        <f>VLOOKUP($AV64,Dummy!$A:$R,16,FALSE)</f>
        <v>0</v>
      </c>
      <c r="BL64" s="32">
        <f>VLOOKUP($AV64,Dummy!$A:$R,17,FALSE)</f>
        <v>0</v>
      </c>
      <c r="BM64" s="33" t="str">
        <f>VLOOKUP($AV64,Dummy!$A:$R,18,FALSE)</f>
        <v>MAX</v>
      </c>
    </row>
    <row r="65" spans="2:65" x14ac:dyDescent="0.25">
      <c r="B65" s="18">
        <v>45826</v>
      </c>
      <c r="C65" s="22">
        <v>0.85416666666666663</v>
      </c>
      <c r="D65" s="30" t="s">
        <v>53</v>
      </c>
      <c r="E65" s="37"/>
      <c r="F65" s="11" t="s">
        <v>7</v>
      </c>
      <c r="G65" s="38"/>
      <c r="H65" s="26" t="s">
        <v>54</v>
      </c>
      <c r="I65" s="37"/>
      <c r="J65" s="11" t="s">
        <v>7</v>
      </c>
      <c r="K65" s="38"/>
      <c r="L65" s="37"/>
      <c r="M65" s="11" t="s">
        <v>7</v>
      </c>
      <c r="N65" s="38"/>
      <c r="O65" s="37"/>
      <c r="P65" s="11" t="s">
        <v>7</v>
      </c>
      <c r="Q65" s="38"/>
      <c r="R65" s="37"/>
      <c r="S65" s="11" t="s">
        <v>7</v>
      </c>
      <c r="T65" s="38"/>
      <c r="U65" s="37"/>
      <c r="V65" s="11" t="s">
        <v>7</v>
      </c>
      <c r="W65" s="38"/>
      <c r="X65" s="12">
        <f t="shared" si="103"/>
        <v>0</v>
      </c>
      <c r="Y65" s="13" t="s">
        <v>7</v>
      </c>
      <c r="Z65" s="14">
        <f t="shared" si="104"/>
        <v>0</v>
      </c>
      <c r="AB65" s="4">
        <f t="shared" si="84"/>
        <v>0</v>
      </c>
      <c r="AC65" s="4">
        <f t="shared" si="85"/>
        <v>0</v>
      </c>
      <c r="AD65" s="4">
        <f t="shared" si="86"/>
        <v>0</v>
      </c>
      <c r="AE65" s="4">
        <f t="shared" si="87"/>
        <v>0</v>
      </c>
      <c r="AF65" s="4">
        <f t="shared" si="88"/>
        <v>0</v>
      </c>
      <c r="AG65" s="4">
        <f t="shared" si="89"/>
        <v>0</v>
      </c>
      <c r="AH65" s="4">
        <f t="shared" si="90"/>
        <v>0</v>
      </c>
      <c r="AI65" s="4">
        <f t="shared" si="91"/>
        <v>0</v>
      </c>
      <c r="AJ65" s="4">
        <f t="shared" si="92"/>
        <v>0</v>
      </c>
      <c r="AK65" s="4">
        <f t="shared" si="93"/>
        <v>0</v>
      </c>
      <c r="AM65" s="4">
        <f t="shared" si="94"/>
        <v>0</v>
      </c>
      <c r="AN65" s="4">
        <f t="shared" si="95"/>
        <v>0</v>
      </c>
      <c r="AO65" s="4">
        <f t="shared" si="96"/>
        <v>0</v>
      </c>
      <c r="AP65" s="4">
        <f t="shared" si="97"/>
        <v>0</v>
      </c>
      <c r="AQ65" s="4">
        <f t="shared" si="98"/>
        <v>0</v>
      </c>
      <c r="AR65" s="4">
        <f t="shared" si="99"/>
        <v>0</v>
      </c>
      <c r="AS65" s="4">
        <f t="shared" si="100"/>
        <v>0</v>
      </c>
      <c r="AT65" s="4">
        <f t="shared" si="101"/>
        <v>0</v>
      </c>
      <c r="AU65" s="4">
        <f t="shared" si="102"/>
        <v>0</v>
      </c>
      <c r="AV65" s="35">
        <v>18</v>
      </c>
      <c r="AW65" s="34" t="str">
        <f>VLOOKUP($AV65,Dummy!$A:$R,2,FALSE)</f>
        <v>Turquia</v>
      </c>
      <c r="AX65" s="32">
        <f>VLOOKUP($AV65,Dummy!$A:$R,3,FALSE)</f>
        <v>0</v>
      </c>
      <c r="AY65" s="32">
        <f>VLOOKUP($AV65,Dummy!$A:$R,4,FALSE)</f>
        <v>0</v>
      </c>
      <c r="AZ65" s="32">
        <f>VLOOKUP($AV65,Dummy!$A:$R,5,FALSE)</f>
        <v>0</v>
      </c>
      <c r="BA65" s="32">
        <f>VLOOKUP($AV65,Dummy!$A:$R,6,FALSE)</f>
        <v>0</v>
      </c>
      <c r="BB65" s="32">
        <f>VLOOKUP($AV65,Dummy!$A:$R,7,FALSE)</f>
        <v>0</v>
      </c>
      <c r="BC65" s="32">
        <f>VLOOKUP($AV65,Dummy!$A:$R,8,FALSE)</f>
        <v>0</v>
      </c>
      <c r="BD65" s="32">
        <f>VLOOKUP($AV65,Dummy!$A:$R,9,FALSE)</f>
        <v>0</v>
      </c>
      <c r="BE65" s="32">
        <f>VLOOKUP($AV65,Dummy!$A:$R,10,FALSE)</f>
        <v>0</v>
      </c>
      <c r="BF65" s="32">
        <f>VLOOKUP($AV65,Dummy!$A:$R,11,FALSE)</f>
        <v>0</v>
      </c>
      <c r="BG65" s="32">
        <f>VLOOKUP($AV65,Dummy!$A:$R,12,FALSE)</f>
        <v>0</v>
      </c>
      <c r="BH65" s="32">
        <f>VLOOKUP($AV65,Dummy!$A:$R,13,FALSE)</f>
        <v>0</v>
      </c>
      <c r="BI65" s="32">
        <f>VLOOKUP($AV65,Dummy!$A:$R,14,FALSE)</f>
        <v>0</v>
      </c>
      <c r="BJ65" s="33" t="str">
        <f>VLOOKUP($AV65,Dummy!$A:$R,15,FALSE)</f>
        <v>MAX</v>
      </c>
      <c r="BK65" s="32">
        <f>VLOOKUP($AV65,Dummy!$A:$R,16,FALSE)</f>
        <v>0</v>
      </c>
      <c r="BL65" s="32">
        <f>VLOOKUP($AV65,Dummy!$A:$R,17,FALSE)</f>
        <v>0</v>
      </c>
      <c r="BM65" s="33" t="str">
        <f>VLOOKUP($AV65,Dummy!$A:$R,18,FALSE)</f>
        <v>MAX</v>
      </c>
    </row>
    <row r="66" spans="2:65" x14ac:dyDescent="0.25">
      <c r="B66" s="18">
        <v>45827</v>
      </c>
      <c r="C66" s="22">
        <v>0.70833333333333337</v>
      </c>
      <c r="D66" s="30" t="s">
        <v>59</v>
      </c>
      <c r="E66" s="37"/>
      <c r="F66" s="11" t="s">
        <v>7</v>
      </c>
      <c r="G66" s="38"/>
      <c r="H66" s="26" t="s">
        <v>40</v>
      </c>
      <c r="I66" s="37"/>
      <c r="J66" s="11" t="s">
        <v>7</v>
      </c>
      <c r="K66" s="38"/>
      <c r="L66" s="37"/>
      <c r="M66" s="11" t="s">
        <v>7</v>
      </c>
      <c r="N66" s="38"/>
      <c r="O66" s="37"/>
      <c r="P66" s="11" t="s">
        <v>7</v>
      </c>
      <c r="Q66" s="38"/>
      <c r="R66" s="37"/>
      <c r="S66" s="11" t="s">
        <v>7</v>
      </c>
      <c r="T66" s="38"/>
      <c r="U66" s="37"/>
      <c r="V66" s="11" t="s">
        <v>7</v>
      </c>
      <c r="W66" s="38"/>
      <c r="X66" s="12">
        <f t="shared" si="103"/>
        <v>0</v>
      </c>
      <c r="Y66" s="13" t="s">
        <v>7</v>
      </c>
      <c r="Z66" s="14">
        <f t="shared" si="104"/>
        <v>0</v>
      </c>
      <c r="AB66" s="4">
        <f t="shared" si="84"/>
        <v>0</v>
      </c>
      <c r="AC66" s="4">
        <f t="shared" si="85"/>
        <v>0</v>
      </c>
      <c r="AD66" s="4">
        <f t="shared" si="86"/>
        <v>0</v>
      </c>
      <c r="AE66" s="4">
        <f t="shared" si="87"/>
        <v>0</v>
      </c>
      <c r="AF66" s="4">
        <f t="shared" si="88"/>
        <v>0</v>
      </c>
      <c r="AG66" s="4">
        <f t="shared" si="89"/>
        <v>0</v>
      </c>
      <c r="AH66" s="4">
        <f t="shared" si="90"/>
        <v>0</v>
      </c>
      <c r="AI66" s="4">
        <f t="shared" si="91"/>
        <v>0</v>
      </c>
      <c r="AJ66" s="4">
        <f t="shared" si="92"/>
        <v>0</v>
      </c>
      <c r="AK66" s="4">
        <f t="shared" si="93"/>
        <v>0</v>
      </c>
      <c r="AM66" s="4">
        <f t="shared" si="94"/>
        <v>0</v>
      </c>
      <c r="AN66" s="4">
        <f t="shared" si="95"/>
        <v>0</v>
      </c>
      <c r="AO66" s="4">
        <f t="shared" si="96"/>
        <v>0</v>
      </c>
      <c r="AP66" s="4">
        <f t="shared" si="97"/>
        <v>0</v>
      </c>
      <c r="AQ66" s="4">
        <f t="shared" si="98"/>
        <v>0</v>
      </c>
      <c r="AR66" s="4">
        <f t="shared" si="99"/>
        <v>0</v>
      </c>
      <c r="AS66" s="4">
        <f t="shared" si="100"/>
        <v>0</v>
      </c>
      <c r="AT66" s="4">
        <f t="shared" si="101"/>
        <v>0</v>
      </c>
      <c r="AU66" s="4">
        <f t="shared" si="102"/>
        <v>0</v>
      </c>
      <c r="AY66" s="57">
        <f>SUM(AY48:AY65)</f>
        <v>0</v>
      </c>
    </row>
    <row r="67" spans="2:65" x14ac:dyDescent="0.25">
      <c r="B67" s="18">
        <v>45827</v>
      </c>
      <c r="C67" s="22">
        <v>0.85416666666666663</v>
      </c>
      <c r="D67" s="30" t="s">
        <v>51</v>
      </c>
      <c r="E67" s="37"/>
      <c r="F67" s="11" t="s">
        <v>7</v>
      </c>
      <c r="G67" s="38"/>
      <c r="H67" s="26" t="s">
        <v>54</v>
      </c>
      <c r="I67" s="37"/>
      <c r="J67" s="11" t="s">
        <v>7</v>
      </c>
      <c r="K67" s="38"/>
      <c r="L67" s="37"/>
      <c r="M67" s="11" t="s">
        <v>7</v>
      </c>
      <c r="N67" s="38"/>
      <c r="O67" s="37"/>
      <c r="P67" s="11" t="s">
        <v>7</v>
      </c>
      <c r="Q67" s="38"/>
      <c r="R67" s="37"/>
      <c r="S67" s="11" t="s">
        <v>7</v>
      </c>
      <c r="T67" s="38"/>
      <c r="U67" s="37"/>
      <c r="V67" s="11" t="s">
        <v>7</v>
      </c>
      <c r="W67" s="38"/>
      <c r="X67" s="12">
        <f t="shared" si="103"/>
        <v>0</v>
      </c>
      <c r="Y67" s="13" t="s">
        <v>7</v>
      </c>
      <c r="Z67" s="14">
        <f t="shared" si="104"/>
        <v>0</v>
      </c>
      <c r="AB67" s="4">
        <f t="shared" si="84"/>
        <v>0</v>
      </c>
      <c r="AC67" s="4">
        <f t="shared" si="85"/>
        <v>0</v>
      </c>
      <c r="AD67" s="4">
        <f t="shared" si="86"/>
        <v>0</v>
      </c>
      <c r="AE67" s="4">
        <f t="shared" si="87"/>
        <v>0</v>
      </c>
      <c r="AF67" s="4">
        <f t="shared" si="88"/>
        <v>0</v>
      </c>
      <c r="AG67" s="4">
        <f t="shared" si="89"/>
        <v>0</v>
      </c>
      <c r="AH67" s="4">
        <f t="shared" si="90"/>
        <v>0</v>
      </c>
      <c r="AI67" s="4">
        <f t="shared" si="91"/>
        <v>0</v>
      </c>
      <c r="AJ67" s="4">
        <f t="shared" si="92"/>
        <v>0</v>
      </c>
      <c r="AK67" s="4">
        <f t="shared" si="93"/>
        <v>0</v>
      </c>
      <c r="AM67" s="4">
        <f t="shared" si="94"/>
        <v>0</v>
      </c>
      <c r="AN67" s="4">
        <f t="shared" si="95"/>
        <v>0</v>
      </c>
      <c r="AO67" s="4">
        <f t="shared" si="96"/>
        <v>0</v>
      </c>
      <c r="AP67" s="4">
        <f t="shared" si="97"/>
        <v>0</v>
      </c>
      <c r="AQ67" s="4">
        <f t="shared" si="98"/>
        <v>0</v>
      </c>
      <c r="AR67" s="4">
        <f t="shared" si="99"/>
        <v>0</v>
      </c>
      <c r="AS67" s="4">
        <f t="shared" si="100"/>
        <v>0</v>
      </c>
      <c r="AT67" s="4">
        <f t="shared" si="101"/>
        <v>0</v>
      </c>
      <c r="AU67" s="4">
        <f t="shared" si="102"/>
        <v>0</v>
      </c>
      <c r="AV67" s="62" t="s">
        <v>99</v>
      </c>
      <c r="AW67" s="62"/>
    </row>
    <row r="68" spans="2:65" x14ac:dyDescent="0.25">
      <c r="B68" s="18">
        <v>45828</v>
      </c>
      <c r="C68" s="22">
        <v>0.70833333333333337</v>
      </c>
      <c r="D68" s="30" t="s">
        <v>51</v>
      </c>
      <c r="E68" s="37"/>
      <c r="F68" s="11" t="s">
        <v>7</v>
      </c>
      <c r="G68" s="38"/>
      <c r="H68" s="26" t="s">
        <v>53</v>
      </c>
      <c r="I68" s="37"/>
      <c r="J68" s="11" t="s">
        <v>7</v>
      </c>
      <c r="K68" s="38"/>
      <c r="L68" s="37"/>
      <c r="M68" s="11" t="s">
        <v>7</v>
      </c>
      <c r="N68" s="38"/>
      <c r="O68" s="37"/>
      <c r="P68" s="11" t="s">
        <v>7</v>
      </c>
      <c r="Q68" s="38"/>
      <c r="R68" s="37"/>
      <c r="S68" s="11" t="s">
        <v>7</v>
      </c>
      <c r="T68" s="38"/>
      <c r="U68" s="37"/>
      <c r="V68" s="11" t="s">
        <v>7</v>
      </c>
      <c r="W68" s="38"/>
      <c r="X68" s="12">
        <f t="shared" si="103"/>
        <v>0</v>
      </c>
      <c r="Y68" s="13" t="s">
        <v>7</v>
      </c>
      <c r="Z68" s="14">
        <f t="shared" si="104"/>
        <v>0</v>
      </c>
      <c r="AB68" s="4">
        <f t="shared" si="84"/>
        <v>0</v>
      </c>
      <c r="AC68" s="4">
        <f t="shared" si="85"/>
        <v>0</v>
      </c>
      <c r="AD68" s="4">
        <f t="shared" si="86"/>
        <v>0</v>
      </c>
      <c r="AE68" s="4">
        <f t="shared" si="87"/>
        <v>0</v>
      </c>
      <c r="AF68" s="4">
        <f t="shared" si="88"/>
        <v>0</v>
      </c>
      <c r="AG68" s="4">
        <f t="shared" si="89"/>
        <v>0</v>
      </c>
      <c r="AH68" s="4">
        <f t="shared" si="90"/>
        <v>0</v>
      </c>
      <c r="AI68" s="4">
        <f t="shared" si="91"/>
        <v>0</v>
      </c>
      <c r="AJ68" s="4">
        <f t="shared" si="92"/>
        <v>0</v>
      </c>
      <c r="AK68" s="4">
        <f t="shared" si="93"/>
        <v>0</v>
      </c>
      <c r="AM68" s="4">
        <f t="shared" si="94"/>
        <v>0</v>
      </c>
      <c r="AN68" s="4">
        <f t="shared" si="95"/>
        <v>0</v>
      </c>
      <c r="AO68" s="4">
        <f t="shared" si="96"/>
        <v>0</v>
      </c>
      <c r="AP68" s="4">
        <f t="shared" si="97"/>
        <v>0</v>
      </c>
      <c r="AQ68" s="4">
        <f t="shared" si="98"/>
        <v>0</v>
      </c>
      <c r="AR68" s="4">
        <f t="shared" si="99"/>
        <v>0</v>
      </c>
      <c r="AS68" s="4">
        <f t="shared" si="100"/>
        <v>0</v>
      </c>
      <c r="AT68" s="4">
        <f t="shared" si="101"/>
        <v>0</v>
      </c>
      <c r="AU68" s="4">
        <f t="shared" si="102"/>
        <v>0</v>
      </c>
      <c r="AV68" s="58"/>
      <c r="AW68" s="7" t="s">
        <v>100</v>
      </c>
    </row>
    <row r="69" spans="2:65" x14ac:dyDescent="0.25">
      <c r="B69" s="18">
        <v>45828</v>
      </c>
      <c r="C69" s="22">
        <v>0.85416666666666663</v>
      </c>
      <c r="D69" s="30" t="s">
        <v>30</v>
      </c>
      <c r="E69" s="37"/>
      <c r="F69" s="11" t="s">
        <v>7</v>
      </c>
      <c r="G69" s="38"/>
      <c r="H69" s="26" t="s">
        <v>40</v>
      </c>
      <c r="I69" s="37"/>
      <c r="J69" s="11" t="s">
        <v>7</v>
      </c>
      <c r="K69" s="38"/>
      <c r="L69" s="37"/>
      <c r="M69" s="11" t="s">
        <v>7</v>
      </c>
      <c r="N69" s="38"/>
      <c r="O69" s="37"/>
      <c r="P69" s="11" t="s">
        <v>7</v>
      </c>
      <c r="Q69" s="38"/>
      <c r="R69" s="37"/>
      <c r="S69" s="11" t="s">
        <v>7</v>
      </c>
      <c r="T69" s="38"/>
      <c r="U69" s="37"/>
      <c r="V69" s="11" t="s">
        <v>7</v>
      </c>
      <c r="W69" s="38"/>
      <c r="X69" s="12">
        <f t="shared" si="103"/>
        <v>0</v>
      </c>
      <c r="Y69" s="13" t="s">
        <v>7</v>
      </c>
      <c r="Z69" s="14">
        <f t="shared" si="104"/>
        <v>0</v>
      </c>
      <c r="AB69" s="4">
        <f t="shared" si="84"/>
        <v>0</v>
      </c>
      <c r="AC69" s="4">
        <f t="shared" si="85"/>
        <v>0</v>
      </c>
      <c r="AD69" s="4">
        <f t="shared" si="86"/>
        <v>0</v>
      </c>
      <c r="AE69" s="4">
        <f t="shared" si="87"/>
        <v>0</v>
      </c>
      <c r="AF69" s="4">
        <f t="shared" si="88"/>
        <v>0</v>
      </c>
      <c r="AG69" s="4">
        <f t="shared" si="89"/>
        <v>0</v>
      </c>
      <c r="AH69" s="4">
        <f t="shared" si="90"/>
        <v>0</v>
      </c>
      <c r="AI69" s="4">
        <f t="shared" si="91"/>
        <v>0</v>
      </c>
      <c r="AJ69" s="4">
        <f t="shared" si="92"/>
        <v>0</v>
      </c>
      <c r="AK69" s="4">
        <f t="shared" si="93"/>
        <v>0</v>
      </c>
      <c r="AM69" s="4">
        <f t="shared" si="94"/>
        <v>0</v>
      </c>
      <c r="AN69" s="4">
        <f t="shared" si="95"/>
        <v>0</v>
      </c>
      <c r="AO69" s="4">
        <f t="shared" si="96"/>
        <v>0</v>
      </c>
      <c r="AP69" s="4">
        <f t="shared" si="97"/>
        <v>0</v>
      </c>
      <c r="AQ69" s="4">
        <f t="shared" si="98"/>
        <v>0</v>
      </c>
      <c r="AR69" s="4">
        <f t="shared" si="99"/>
        <v>0</v>
      </c>
      <c r="AS69" s="4">
        <f t="shared" si="100"/>
        <v>0</v>
      </c>
      <c r="AT69" s="4">
        <f t="shared" si="101"/>
        <v>0</v>
      </c>
      <c r="AU69" s="4">
        <f t="shared" si="102"/>
        <v>0</v>
      </c>
      <c r="AV69" s="59"/>
      <c r="AW69" s="7" t="s">
        <v>101</v>
      </c>
    </row>
    <row r="70" spans="2:65" x14ac:dyDescent="0.25">
      <c r="B70" s="18">
        <v>45829</v>
      </c>
      <c r="C70" s="22">
        <v>0.6875</v>
      </c>
      <c r="D70" s="30" t="s">
        <v>53</v>
      </c>
      <c r="E70" s="37"/>
      <c r="F70" s="11" t="s">
        <v>7</v>
      </c>
      <c r="G70" s="38"/>
      <c r="H70" s="26" t="s">
        <v>59</v>
      </c>
      <c r="I70" s="37"/>
      <c r="J70" s="11" t="s">
        <v>7</v>
      </c>
      <c r="K70" s="38"/>
      <c r="L70" s="37"/>
      <c r="M70" s="11" t="s">
        <v>7</v>
      </c>
      <c r="N70" s="38"/>
      <c r="O70" s="37"/>
      <c r="P70" s="11" t="s">
        <v>7</v>
      </c>
      <c r="Q70" s="38"/>
      <c r="R70" s="37"/>
      <c r="S70" s="11" t="s">
        <v>7</v>
      </c>
      <c r="T70" s="38"/>
      <c r="U70" s="37"/>
      <c r="V70" s="11" t="s">
        <v>7</v>
      </c>
      <c r="W70" s="38"/>
      <c r="X70" s="12">
        <f t="shared" si="103"/>
        <v>0</v>
      </c>
      <c r="Y70" s="13" t="s">
        <v>7</v>
      </c>
      <c r="Z70" s="14">
        <f t="shared" si="104"/>
        <v>0</v>
      </c>
      <c r="AB70" s="4">
        <f t="shared" si="84"/>
        <v>0</v>
      </c>
      <c r="AC70" s="4">
        <f t="shared" si="85"/>
        <v>0</v>
      </c>
      <c r="AD70" s="4">
        <f t="shared" si="86"/>
        <v>0</v>
      </c>
      <c r="AE70" s="4">
        <f t="shared" si="87"/>
        <v>0</v>
      </c>
      <c r="AF70" s="4">
        <f t="shared" si="88"/>
        <v>0</v>
      </c>
      <c r="AG70" s="4">
        <f t="shared" si="89"/>
        <v>0</v>
      </c>
      <c r="AH70" s="4">
        <f t="shared" si="90"/>
        <v>0</v>
      </c>
      <c r="AI70" s="4">
        <f t="shared" si="91"/>
        <v>0</v>
      </c>
      <c r="AJ70" s="4">
        <f t="shared" si="92"/>
        <v>0</v>
      </c>
      <c r="AK70" s="4">
        <f t="shared" si="93"/>
        <v>0</v>
      </c>
      <c r="AM70" s="4">
        <f t="shared" si="94"/>
        <v>0</v>
      </c>
      <c r="AN70" s="4">
        <f t="shared" si="95"/>
        <v>0</v>
      </c>
      <c r="AO70" s="4">
        <f t="shared" si="96"/>
        <v>0</v>
      </c>
      <c r="AP70" s="4">
        <f t="shared" si="97"/>
        <v>0</v>
      </c>
      <c r="AQ70" s="4">
        <f t="shared" si="98"/>
        <v>0</v>
      </c>
      <c r="AR70" s="4">
        <f t="shared" si="99"/>
        <v>0</v>
      </c>
      <c r="AS70" s="4">
        <f t="shared" si="100"/>
        <v>0</v>
      </c>
      <c r="AT70" s="4">
        <f t="shared" si="101"/>
        <v>0</v>
      </c>
      <c r="AU70" s="4">
        <f t="shared" si="102"/>
        <v>0</v>
      </c>
    </row>
    <row r="71" spans="2:65" x14ac:dyDescent="0.25">
      <c r="B71" s="18">
        <v>45829</v>
      </c>
      <c r="C71" s="22">
        <v>0.83333333333333337</v>
      </c>
      <c r="D71" s="30" t="s">
        <v>30</v>
      </c>
      <c r="E71" s="37"/>
      <c r="F71" s="11" t="s">
        <v>7</v>
      </c>
      <c r="G71" s="38"/>
      <c r="H71" s="26" t="s">
        <v>54</v>
      </c>
      <c r="I71" s="37"/>
      <c r="J71" s="11" t="s">
        <v>7</v>
      </c>
      <c r="K71" s="38"/>
      <c r="L71" s="37"/>
      <c r="M71" s="11" t="s">
        <v>7</v>
      </c>
      <c r="N71" s="38"/>
      <c r="O71" s="37"/>
      <c r="P71" s="11" t="s">
        <v>7</v>
      </c>
      <c r="Q71" s="38"/>
      <c r="R71" s="37"/>
      <c r="S71" s="11" t="s">
        <v>7</v>
      </c>
      <c r="T71" s="38"/>
      <c r="U71" s="37"/>
      <c r="V71" s="11" t="s">
        <v>7</v>
      </c>
      <c r="W71" s="38"/>
      <c r="X71" s="12">
        <f t="shared" si="103"/>
        <v>0</v>
      </c>
      <c r="Y71" s="13" t="s">
        <v>7</v>
      </c>
      <c r="Z71" s="14">
        <f t="shared" si="104"/>
        <v>0</v>
      </c>
      <c r="AB71" s="4">
        <f t="shared" si="84"/>
        <v>0</v>
      </c>
      <c r="AC71" s="4">
        <f t="shared" si="85"/>
        <v>0</v>
      </c>
      <c r="AD71" s="4">
        <f t="shared" si="86"/>
        <v>0</v>
      </c>
      <c r="AE71" s="4">
        <f t="shared" si="87"/>
        <v>0</v>
      </c>
      <c r="AF71" s="4">
        <f t="shared" si="88"/>
        <v>0</v>
      </c>
      <c r="AG71" s="4">
        <f t="shared" si="89"/>
        <v>0</v>
      </c>
      <c r="AH71" s="4">
        <f t="shared" si="90"/>
        <v>0</v>
      </c>
      <c r="AI71" s="4">
        <f t="shared" si="91"/>
        <v>0</v>
      </c>
      <c r="AJ71" s="4">
        <f t="shared" si="92"/>
        <v>0</v>
      </c>
      <c r="AK71" s="4">
        <f t="shared" si="93"/>
        <v>0</v>
      </c>
      <c r="AM71" s="4">
        <f t="shared" si="94"/>
        <v>0</v>
      </c>
      <c r="AN71" s="4">
        <f t="shared" si="95"/>
        <v>0</v>
      </c>
      <c r="AO71" s="4">
        <f t="shared" si="96"/>
        <v>0</v>
      </c>
      <c r="AP71" s="4">
        <f t="shared" si="97"/>
        <v>0</v>
      </c>
      <c r="AQ71" s="4">
        <f t="shared" si="98"/>
        <v>0</v>
      </c>
      <c r="AR71" s="4">
        <f t="shared" si="99"/>
        <v>0</v>
      </c>
      <c r="AS71" s="4">
        <f t="shared" si="100"/>
        <v>0</v>
      </c>
      <c r="AT71" s="4">
        <f t="shared" si="101"/>
        <v>0</v>
      </c>
      <c r="AU71" s="4">
        <f t="shared" si="102"/>
        <v>0</v>
      </c>
    </row>
    <row r="72" spans="2:65" x14ac:dyDescent="0.25">
      <c r="B72" s="18">
        <v>45830</v>
      </c>
      <c r="C72" s="22">
        <v>0.54166666666666663</v>
      </c>
      <c r="D72" s="30" t="s">
        <v>51</v>
      </c>
      <c r="E72" s="37"/>
      <c r="F72" s="11" t="s">
        <v>7</v>
      </c>
      <c r="G72" s="38"/>
      <c r="H72" s="26" t="s">
        <v>59</v>
      </c>
      <c r="I72" s="37"/>
      <c r="J72" s="11" t="s">
        <v>7</v>
      </c>
      <c r="K72" s="38"/>
      <c r="L72" s="37"/>
      <c r="M72" s="11" t="s">
        <v>7</v>
      </c>
      <c r="N72" s="38"/>
      <c r="O72" s="37"/>
      <c r="P72" s="11" t="s">
        <v>7</v>
      </c>
      <c r="Q72" s="38"/>
      <c r="R72" s="37"/>
      <c r="S72" s="11" t="s">
        <v>7</v>
      </c>
      <c r="T72" s="38"/>
      <c r="U72" s="37"/>
      <c r="V72" s="11" t="s">
        <v>7</v>
      </c>
      <c r="W72" s="38"/>
      <c r="X72" s="12">
        <f t="shared" si="103"/>
        <v>0</v>
      </c>
      <c r="Y72" s="13" t="s">
        <v>7</v>
      </c>
      <c r="Z72" s="14">
        <f t="shared" si="104"/>
        <v>0</v>
      </c>
      <c r="AB72" s="4">
        <f t="shared" si="84"/>
        <v>0</v>
      </c>
      <c r="AC72" s="4">
        <f t="shared" si="85"/>
        <v>0</v>
      </c>
      <c r="AD72" s="4">
        <f t="shared" si="86"/>
        <v>0</v>
      </c>
      <c r="AE72" s="4">
        <f t="shared" si="87"/>
        <v>0</v>
      </c>
      <c r="AF72" s="4">
        <f t="shared" si="88"/>
        <v>0</v>
      </c>
      <c r="AG72" s="4">
        <f t="shared" si="89"/>
        <v>0</v>
      </c>
      <c r="AH72" s="4">
        <f t="shared" si="90"/>
        <v>0</v>
      </c>
      <c r="AI72" s="4">
        <f t="shared" si="91"/>
        <v>0</v>
      </c>
      <c r="AJ72" s="4">
        <f t="shared" si="92"/>
        <v>0</v>
      </c>
      <c r="AK72" s="4">
        <f t="shared" si="93"/>
        <v>0</v>
      </c>
      <c r="AM72" s="4">
        <f t="shared" si="94"/>
        <v>0</v>
      </c>
      <c r="AN72" s="4">
        <f t="shared" si="95"/>
        <v>0</v>
      </c>
      <c r="AO72" s="4">
        <f t="shared" si="96"/>
        <v>0</v>
      </c>
      <c r="AP72" s="4">
        <f t="shared" si="97"/>
        <v>0</v>
      </c>
      <c r="AQ72" s="4">
        <f t="shared" si="98"/>
        <v>0</v>
      </c>
      <c r="AR72" s="4">
        <f t="shared" si="99"/>
        <v>0</v>
      </c>
      <c r="AS72" s="4">
        <f t="shared" si="100"/>
        <v>0</v>
      </c>
      <c r="AT72" s="4">
        <f t="shared" si="101"/>
        <v>0</v>
      </c>
      <c r="AU72" s="4">
        <f t="shared" si="102"/>
        <v>0</v>
      </c>
    </row>
    <row r="73" spans="2:65" x14ac:dyDescent="0.25">
      <c r="B73" s="18">
        <v>45830</v>
      </c>
      <c r="C73" s="22">
        <v>0.6875</v>
      </c>
      <c r="D73" s="30" t="s">
        <v>53</v>
      </c>
      <c r="E73" s="37"/>
      <c r="F73" s="11" t="s">
        <v>7</v>
      </c>
      <c r="G73" s="38"/>
      <c r="H73" s="26" t="s">
        <v>30</v>
      </c>
      <c r="I73" s="37"/>
      <c r="J73" s="11" t="s">
        <v>7</v>
      </c>
      <c r="K73" s="38"/>
      <c r="L73" s="37"/>
      <c r="M73" s="11" t="s">
        <v>7</v>
      </c>
      <c r="N73" s="38"/>
      <c r="O73" s="37"/>
      <c r="P73" s="11" t="s">
        <v>7</v>
      </c>
      <c r="Q73" s="38"/>
      <c r="R73" s="37"/>
      <c r="S73" s="11" t="s">
        <v>7</v>
      </c>
      <c r="T73" s="38"/>
      <c r="U73" s="37"/>
      <c r="V73" s="11" t="s">
        <v>7</v>
      </c>
      <c r="W73" s="38"/>
      <c r="X73" s="12">
        <f t="shared" si="103"/>
        <v>0</v>
      </c>
      <c r="Y73" s="13" t="s">
        <v>7</v>
      </c>
      <c r="Z73" s="14">
        <f t="shared" si="104"/>
        <v>0</v>
      </c>
      <c r="AB73" s="4">
        <f t="shared" si="84"/>
        <v>0</v>
      </c>
      <c r="AC73" s="4">
        <f t="shared" si="85"/>
        <v>0</v>
      </c>
      <c r="AD73" s="4">
        <f t="shared" si="86"/>
        <v>0</v>
      </c>
      <c r="AE73" s="4">
        <f t="shared" si="87"/>
        <v>0</v>
      </c>
      <c r="AF73" s="4">
        <f t="shared" si="88"/>
        <v>0</v>
      </c>
      <c r="AG73" s="4">
        <f t="shared" si="89"/>
        <v>0</v>
      </c>
      <c r="AH73" s="4">
        <f t="shared" si="90"/>
        <v>0</v>
      </c>
      <c r="AI73" s="4">
        <f t="shared" si="91"/>
        <v>0</v>
      </c>
      <c r="AJ73" s="4">
        <f t="shared" si="92"/>
        <v>0</v>
      </c>
      <c r="AK73" s="4">
        <f t="shared" si="93"/>
        <v>0</v>
      </c>
      <c r="AM73" s="4">
        <f t="shared" si="94"/>
        <v>0</v>
      </c>
      <c r="AN73" s="4">
        <f t="shared" si="95"/>
        <v>0</v>
      </c>
      <c r="AO73" s="4">
        <f t="shared" si="96"/>
        <v>0</v>
      </c>
      <c r="AP73" s="4">
        <f t="shared" si="97"/>
        <v>0</v>
      </c>
      <c r="AQ73" s="4">
        <f t="shared" si="98"/>
        <v>0</v>
      </c>
      <c r="AR73" s="4">
        <f t="shared" si="99"/>
        <v>0</v>
      </c>
      <c r="AS73" s="4">
        <f t="shared" si="100"/>
        <v>0</v>
      </c>
      <c r="AT73" s="4">
        <f t="shared" si="101"/>
        <v>0</v>
      </c>
      <c r="AU73" s="4">
        <f t="shared" si="102"/>
        <v>0</v>
      </c>
    </row>
    <row r="74" spans="2:65" x14ac:dyDescent="0.25">
      <c r="B74" s="18">
        <v>45830</v>
      </c>
      <c r="C74" s="22">
        <v>0.83333333333333337</v>
      </c>
      <c r="D74" s="30" t="s">
        <v>54</v>
      </c>
      <c r="E74" s="37"/>
      <c r="F74" s="11" t="s">
        <v>7</v>
      </c>
      <c r="G74" s="38"/>
      <c r="H74" s="26" t="s">
        <v>40</v>
      </c>
      <c r="I74" s="37"/>
      <c r="J74" s="11" t="s">
        <v>7</v>
      </c>
      <c r="K74" s="38"/>
      <c r="L74" s="37"/>
      <c r="M74" s="11" t="s">
        <v>7</v>
      </c>
      <c r="N74" s="38"/>
      <c r="O74" s="37"/>
      <c r="P74" s="11" t="s">
        <v>7</v>
      </c>
      <c r="Q74" s="38"/>
      <c r="R74" s="37"/>
      <c r="S74" s="11" t="s">
        <v>7</v>
      </c>
      <c r="T74" s="38"/>
      <c r="U74" s="37"/>
      <c r="V74" s="11" t="s">
        <v>7</v>
      </c>
      <c r="W74" s="38"/>
      <c r="X74" s="12">
        <f t="shared" si="103"/>
        <v>0</v>
      </c>
      <c r="Y74" s="13" t="s">
        <v>7</v>
      </c>
      <c r="Z74" s="14">
        <f t="shared" si="104"/>
        <v>0</v>
      </c>
      <c r="AB74" s="4">
        <f t="shared" si="84"/>
        <v>0</v>
      </c>
      <c r="AC74" s="4">
        <f t="shared" si="85"/>
        <v>0</v>
      </c>
      <c r="AD74" s="4">
        <f t="shared" si="86"/>
        <v>0</v>
      </c>
      <c r="AE74" s="4">
        <f t="shared" si="87"/>
        <v>0</v>
      </c>
      <c r="AF74" s="4">
        <f t="shared" si="88"/>
        <v>0</v>
      </c>
      <c r="AG74" s="4">
        <f t="shared" si="89"/>
        <v>0</v>
      </c>
      <c r="AH74" s="4">
        <f t="shared" si="90"/>
        <v>0</v>
      </c>
      <c r="AI74" s="4">
        <f t="shared" si="91"/>
        <v>0</v>
      </c>
      <c r="AJ74" s="4">
        <f t="shared" si="92"/>
        <v>0</v>
      </c>
      <c r="AK74" s="4">
        <f t="shared" si="93"/>
        <v>0</v>
      </c>
      <c r="AM74" s="4">
        <f t="shared" si="94"/>
        <v>0</v>
      </c>
      <c r="AN74" s="4">
        <f t="shared" si="95"/>
        <v>0</v>
      </c>
      <c r="AO74" s="4">
        <f t="shared" si="96"/>
        <v>0</v>
      </c>
      <c r="AP74" s="4">
        <f t="shared" si="97"/>
        <v>0</v>
      </c>
      <c r="AQ74" s="4">
        <f t="shared" si="98"/>
        <v>0</v>
      </c>
      <c r="AR74" s="4">
        <f t="shared" si="99"/>
        <v>0</v>
      </c>
      <c r="AS74" s="4">
        <f t="shared" si="100"/>
        <v>0</v>
      </c>
      <c r="AT74" s="4">
        <f t="shared" si="101"/>
        <v>0</v>
      </c>
      <c r="AU74" s="4">
        <f t="shared" si="102"/>
        <v>0</v>
      </c>
    </row>
    <row r="75" spans="2:65" ht="14.25" x14ac:dyDescent="0.25">
      <c r="B75" s="66" t="s">
        <v>71</v>
      </c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spans="2:65" x14ac:dyDescent="0.25">
      <c r="B76" s="16" t="s">
        <v>2</v>
      </c>
      <c r="C76" s="20" t="s">
        <v>3</v>
      </c>
      <c r="D76" s="28"/>
      <c r="E76" s="67" t="s">
        <v>4</v>
      </c>
      <c r="F76" s="67"/>
      <c r="G76" s="67"/>
      <c r="H76" s="24"/>
      <c r="I76" s="68" t="s">
        <v>5</v>
      </c>
      <c r="J76" s="68"/>
      <c r="K76" s="68"/>
      <c r="L76" s="68" t="s">
        <v>6</v>
      </c>
      <c r="M76" s="68"/>
      <c r="N76" s="68"/>
      <c r="O76" s="68" t="s">
        <v>8</v>
      </c>
      <c r="P76" s="68"/>
      <c r="Q76" s="68"/>
      <c r="R76" s="68" t="s">
        <v>9</v>
      </c>
      <c r="S76" s="68"/>
      <c r="T76" s="68"/>
      <c r="U76" s="68" t="s">
        <v>10</v>
      </c>
      <c r="V76" s="68"/>
      <c r="W76" s="68"/>
      <c r="X76" s="68" t="s">
        <v>11</v>
      </c>
      <c r="Y76" s="68"/>
      <c r="Z76" s="68"/>
      <c r="AB76" s="4" t="s">
        <v>39</v>
      </c>
      <c r="AC76" s="4" t="s">
        <v>24</v>
      </c>
      <c r="AD76" s="4" t="s">
        <v>21</v>
      </c>
      <c r="AE76" s="4" t="s">
        <v>19</v>
      </c>
      <c r="AF76" s="4" t="s">
        <v>20</v>
      </c>
      <c r="AG76" s="4" t="s">
        <v>16</v>
      </c>
      <c r="AH76" s="8" t="s">
        <v>18</v>
      </c>
      <c r="AI76" s="8" t="s">
        <v>17</v>
      </c>
      <c r="AJ76" s="4" t="s">
        <v>22</v>
      </c>
      <c r="AK76" s="4" t="s">
        <v>23</v>
      </c>
      <c r="AM76" s="4" t="s">
        <v>25</v>
      </c>
      <c r="AN76" s="4" t="s">
        <v>26</v>
      </c>
      <c r="AO76" s="4" t="s">
        <v>19</v>
      </c>
      <c r="AP76" s="4" t="s">
        <v>20</v>
      </c>
      <c r="AQ76" s="8" t="s">
        <v>35</v>
      </c>
      <c r="AR76" s="8" t="s">
        <v>36</v>
      </c>
      <c r="AS76" s="8" t="s">
        <v>37</v>
      </c>
      <c r="AT76" s="4" t="s">
        <v>22</v>
      </c>
      <c r="AU76" s="4" t="s">
        <v>23</v>
      </c>
    </row>
    <row r="77" spans="2:65" x14ac:dyDescent="0.25">
      <c r="B77" s="17">
        <v>45826</v>
      </c>
      <c r="C77" s="21">
        <v>0.54166666666666663</v>
      </c>
      <c r="D77" s="29" t="s">
        <v>42</v>
      </c>
      <c r="E77" s="37"/>
      <c r="F77" s="11" t="s">
        <v>7</v>
      </c>
      <c r="G77" s="38"/>
      <c r="H77" s="25" t="s">
        <v>43</v>
      </c>
      <c r="I77" s="37"/>
      <c r="J77" s="11" t="s">
        <v>7</v>
      </c>
      <c r="K77" s="38"/>
      <c r="L77" s="37"/>
      <c r="M77" s="11" t="s">
        <v>7</v>
      </c>
      <c r="N77" s="38"/>
      <c r="O77" s="37"/>
      <c r="P77" s="11" t="s">
        <v>7</v>
      </c>
      <c r="Q77" s="38"/>
      <c r="R77" s="37"/>
      <c r="S77" s="11" t="s">
        <v>7</v>
      </c>
      <c r="T77" s="38"/>
      <c r="U77" s="37"/>
      <c r="V77" s="11" t="s">
        <v>7</v>
      </c>
      <c r="W77" s="38"/>
      <c r="X77" s="12">
        <f>SUM(I77,L77,O77,R77,U77)</f>
        <v>0</v>
      </c>
      <c r="Y77" s="13" t="s">
        <v>7</v>
      </c>
      <c r="Z77" s="14">
        <f>SUM(K77,N77,Q77,T77,W77)</f>
        <v>0</v>
      </c>
      <c r="AB77" s="4">
        <f t="shared" ref="AB77:AB88" si="105">AE77+AF77</f>
        <v>0</v>
      </c>
      <c r="AC77" s="4">
        <f t="shared" ref="AC77:AC88" si="106">IF(OR(E77="",G77=""),0,IF(E77&gt;G77,D77,H77))</f>
        <v>0</v>
      </c>
      <c r="AD77" s="4">
        <f t="shared" ref="AD77:AD88" si="107">IF(OR(E77="",G77=""),0,1)</f>
        <v>0</v>
      </c>
      <c r="AE77" s="4">
        <f t="shared" ref="AE77:AE88" si="108">IF(OR(E77="",G77=""),0,IF(E77&gt;G77,E77,G77))</f>
        <v>0</v>
      </c>
      <c r="AF77" s="4">
        <f t="shared" ref="AF77:AF88" si="109">IF(OR(E77="",G77=""),0,IF(E77&gt;G77,G77,E77))</f>
        <v>0</v>
      </c>
      <c r="AG77" s="4">
        <f t="shared" ref="AG77:AG88" si="110">IF(AND(AE77=3,AF77=0),1,0)</f>
        <v>0</v>
      </c>
      <c r="AH77" s="4">
        <f t="shared" ref="AH77:AH88" si="111">IF(AND(AE77=3,AF77=1),1,0)</f>
        <v>0</v>
      </c>
      <c r="AI77" s="4">
        <f t="shared" ref="AI77:AI88" si="112">IF(AND(AE77=3,AF77=2),1,0)</f>
        <v>0</v>
      </c>
      <c r="AJ77" s="4">
        <f t="shared" ref="AJ77:AJ88" si="113">IF(E77&gt;G77,SUM(I77,L77,O77,R77,U77,),SUM(K77,N77,Q77,T77,W77))</f>
        <v>0</v>
      </c>
      <c r="AK77" s="4">
        <f t="shared" ref="AK77:AK88" si="114">IF(E77&gt;G77,SUM(K77,N77,Q77,T77,W77),SUM(I77,L77,O77,R77,U77))</f>
        <v>0</v>
      </c>
      <c r="AM77" s="4">
        <f t="shared" ref="AM77:AM88" si="115">IF(OR(E77="",G77=""),0,IF(E77&lt;G77,D77,H77))</f>
        <v>0</v>
      </c>
      <c r="AN77" s="4">
        <f t="shared" ref="AN77:AN88" si="116">IF(OR(E77="",G77=""),0,1)</f>
        <v>0</v>
      </c>
      <c r="AO77" s="4">
        <f t="shared" ref="AO77:AO88" si="117">IF(OR(E77="",G77=""),0,IF(E77&lt;G77,E77,G77))</f>
        <v>0</v>
      </c>
      <c r="AP77" s="4">
        <f t="shared" ref="AP77:AP88" si="118">IF(OR(E77="",G77=""),0,IF(E77&lt;G77,G77,E77))</f>
        <v>0</v>
      </c>
      <c r="AQ77" s="4">
        <f t="shared" ref="AQ77:AQ88" si="119">IF(AND(AO77=2,AP77=3),1,0)</f>
        <v>0</v>
      </c>
      <c r="AR77" s="4">
        <f t="shared" ref="AR77:AR88" si="120">IF(AND(AO77=1,AP77=3),1,0)</f>
        <v>0</v>
      </c>
      <c r="AS77" s="4">
        <f t="shared" ref="AS77:AS88" si="121">IF(AND(AO77=0,AP77=3),1,0)</f>
        <v>0</v>
      </c>
      <c r="AT77" s="4">
        <f t="shared" ref="AT77:AT88" si="122">IF(E77&lt;G77,SUM(I77,L77,O77,R77,U77,),SUM(K77,N77,Q77,T77,W77))</f>
        <v>0</v>
      </c>
      <c r="AU77" s="4">
        <f t="shared" ref="AU77:AU88" si="123">IF(E77&lt;G77,SUM(K77,N77,Q77,T77,W77),SUM(I77,L77,O77,R77,U77))</f>
        <v>0</v>
      </c>
    </row>
    <row r="78" spans="2:65" x14ac:dyDescent="0.25">
      <c r="B78" s="17">
        <v>45826</v>
      </c>
      <c r="C78" s="21">
        <v>0.6875</v>
      </c>
      <c r="D78" s="29" t="s">
        <v>38</v>
      </c>
      <c r="E78" s="37"/>
      <c r="F78" s="11" t="s">
        <v>7</v>
      </c>
      <c r="G78" s="38"/>
      <c r="H78" s="25" t="s">
        <v>41</v>
      </c>
      <c r="I78" s="37"/>
      <c r="J78" s="11" t="s">
        <v>7</v>
      </c>
      <c r="K78" s="38"/>
      <c r="L78" s="37"/>
      <c r="M78" s="11" t="s">
        <v>7</v>
      </c>
      <c r="N78" s="38"/>
      <c r="O78" s="37"/>
      <c r="P78" s="11" t="s">
        <v>7</v>
      </c>
      <c r="Q78" s="38"/>
      <c r="R78" s="37"/>
      <c r="S78" s="11" t="s">
        <v>7</v>
      </c>
      <c r="T78" s="38"/>
      <c r="U78" s="37"/>
      <c r="V78" s="11" t="s">
        <v>7</v>
      </c>
      <c r="W78" s="38"/>
      <c r="X78" s="12">
        <f t="shared" ref="X78:X88" si="124">SUM(I78,L78,O78,R78,U78)</f>
        <v>0</v>
      </c>
      <c r="Y78" s="13" t="s">
        <v>7</v>
      </c>
      <c r="Z78" s="14">
        <f t="shared" ref="Z78:Z88" si="125">SUM(K78,N78,Q78,T78,W78)</f>
        <v>0</v>
      </c>
      <c r="AB78" s="4">
        <f t="shared" si="105"/>
        <v>0</v>
      </c>
      <c r="AC78" s="4">
        <f t="shared" si="106"/>
        <v>0</v>
      </c>
      <c r="AD78" s="4">
        <f t="shared" si="107"/>
        <v>0</v>
      </c>
      <c r="AE78" s="4">
        <f t="shared" si="108"/>
        <v>0</v>
      </c>
      <c r="AF78" s="4">
        <f t="shared" si="109"/>
        <v>0</v>
      </c>
      <c r="AG78" s="4">
        <f t="shared" si="110"/>
        <v>0</v>
      </c>
      <c r="AH78" s="4">
        <f t="shared" si="111"/>
        <v>0</v>
      </c>
      <c r="AI78" s="4">
        <f t="shared" si="112"/>
        <v>0</v>
      </c>
      <c r="AJ78" s="4">
        <f t="shared" si="113"/>
        <v>0</v>
      </c>
      <c r="AK78" s="4">
        <f t="shared" si="114"/>
        <v>0</v>
      </c>
      <c r="AM78" s="4">
        <f t="shared" si="115"/>
        <v>0</v>
      </c>
      <c r="AN78" s="4">
        <f t="shared" si="116"/>
        <v>0</v>
      </c>
      <c r="AO78" s="4">
        <f t="shared" si="117"/>
        <v>0</v>
      </c>
      <c r="AP78" s="4">
        <f t="shared" si="118"/>
        <v>0</v>
      </c>
      <c r="AQ78" s="4">
        <f t="shared" si="119"/>
        <v>0</v>
      </c>
      <c r="AR78" s="4">
        <f t="shared" si="120"/>
        <v>0</v>
      </c>
      <c r="AS78" s="4">
        <f t="shared" si="121"/>
        <v>0</v>
      </c>
      <c r="AT78" s="4">
        <f t="shared" si="122"/>
        <v>0</v>
      </c>
      <c r="AU78" s="4">
        <f t="shared" si="123"/>
        <v>0</v>
      </c>
    </row>
    <row r="79" spans="2:65" x14ac:dyDescent="0.25">
      <c r="B79" s="17">
        <v>45826</v>
      </c>
      <c r="C79" s="21">
        <v>0.83333333333333337</v>
      </c>
      <c r="D79" s="29" t="s">
        <v>58</v>
      </c>
      <c r="E79" s="37"/>
      <c r="F79" s="11" t="s">
        <v>7</v>
      </c>
      <c r="G79" s="38"/>
      <c r="H79" s="25" t="s">
        <v>56</v>
      </c>
      <c r="I79" s="37"/>
      <c r="J79" s="11" t="s">
        <v>7</v>
      </c>
      <c r="K79" s="38"/>
      <c r="L79" s="37"/>
      <c r="M79" s="11" t="s">
        <v>7</v>
      </c>
      <c r="N79" s="38"/>
      <c r="O79" s="37"/>
      <c r="P79" s="11" t="s">
        <v>7</v>
      </c>
      <c r="Q79" s="38"/>
      <c r="R79" s="37"/>
      <c r="S79" s="11" t="s">
        <v>7</v>
      </c>
      <c r="T79" s="38"/>
      <c r="U79" s="37"/>
      <c r="V79" s="11" t="s">
        <v>7</v>
      </c>
      <c r="W79" s="38"/>
      <c r="X79" s="12">
        <f t="shared" si="124"/>
        <v>0</v>
      </c>
      <c r="Y79" s="13" t="s">
        <v>7</v>
      </c>
      <c r="Z79" s="14">
        <f t="shared" si="125"/>
        <v>0</v>
      </c>
      <c r="AB79" s="4">
        <f t="shared" si="105"/>
        <v>0</v>
      </c>
      <c r="AC79" s="4">
        <f t="shared" si="106"/>
        <v>0</v>
      </c>
      <c r="AD79" s="4">
        <f t="shared" si="107"/>
        <v>0</v>
      </c>
      <c r="AE79" s="4">
        <f t="shared" si="108"/>
        <v>0</v>
      </c>
      <c r="AF79" s="4">
        <f t="shared" si="109"/>
        <v>0</v>
      </c>
      <c r="AG79" s="4">
        <f t="shared" si="110"/>
        <v>0</v>
      </c>
      <c r="AH79" s="4">
        <f t="shared" si="111"/>
        <v>0</v>
      </c>
      <c r="AI79" s="4">
        <f t="shared" si="112"/>
        <v>0</v>
      </c>
      <c r="AJ79" s="4">
        <f t="shared" si="113"/>
        <v>0</v>
      </c>
      <c r="AK79" s="4">
        <f t="shared" si="114"/>
        <v>0</v>
      </c>
      <c r="AM79" s="4">
        <f t="shared" si="115"/>
        <v>0</v>
      </c>
      <c r="AN79" s="4">
        <f t="shared" si="116"/>
        <v>0</v>
      </c>
      <c r="AO79" s="4">
        <f t="shared" si="117"/>
        <v>0</v>
      </c>
      <c r="AP79" s="4">
        <f t="shared" si="118"/>
        <v>0</v>
      </c>
      <c r="AQ79" s="4">
        <f t="shared" si="119"/>
        <v>0</v>
      </c>
      <c r="AR79" s="4">
        <f t="shared" si="120"/>
        <v>0</v>
      </c>
      <c r="AS79" s="4">
        <f t="shared" si="121"/>
        <v>0</v>
      </c>
      <c r="AT79" s="4">
        <f t="shared" si="122"/>
        <v>0</v>
      </c>
      <c r="AU79" s="4">
        <f t="shared" si="123"/>
        <v>0</v>
      </c>
    </row>
    <row r="80" spans="2:65" x14ac:dyDescent="0.25">
      <c r="B80" s="17">
        <v>45827</v>
      </c>
      <c r="C80" s="21">
        <v>0.6875</v>
      </c>
      <c r="D80" s="29" t="s">
        <v>56</v>
      </c>
      <c r="E80" s="37"/>
      <c r="F80" s="11" t="s">
        <v>7</v>
      </c>
      <c r="G80" s="38"/>
      <c r="H80" s="25" t="s">
        <v>41</v>
      </c>
      <c r="I80" s="37"/>
      <c r="J80" s="11" t="s">
        <v>7</v>
      </c>
      <c r="K80" s="38"/>
      <c r="L80" s="37"/>
      <c r="M80" s="11" t="s">
        <v>7</v>
      </c>
      <c r="N80" s="38"/>
      <c r="O80" s="37"/>
      <c r="P80" s="11" t="s">
        <v>7</v>
      </c>
      <c r="Q80" s="38"/>
      <c r="R80" s="37"/>
      <c r="S80" s="11" t="s">
        <v>7</v>
      </c>
      <c r="T80" s="38"/>
      <c r="U80" s="37"/>
      <c r="V80" s="11" t="s">
        <v>7</v>
      </c>
      <c r="W80" s="38"/>
      <c r="X80" s="12">
        <f t="shared" si="124"/>
        <v>0</v>
      </c>
      <c r="Y80" s="13" t="s">
        <v>7</v>
      </c>
      <c r="Z80" s="14">
        <f t="shared" si="125"/>
        <v>0</v>
      </c>
      <c r="AB80" s="4">
        <f t="shared" si="105"/>
        <v>0</v>
      </c>
      <c r="AC80" s="4">
        <f t="shared" si="106"/>
        <v>0</v>
      </c>
      <c r="AD80" s="4">
        <f t="shared" si="107"/>
        <v>0</v>
      </c>
      <c r="AE80" s="4">
        <f t="shared" si="108"/>
        <v>0</v>
      </c>
      <c r="AF80" s="4">
        <f t="shared" si="109"/>
        <v>0</v>
      </c>
      <c r="AG80" s="4">
        <f t="shared" si="110"/>
        <v>0</v>
      </c>
      <c r="AH80" s="4">
        <f t="shared" si="111"/>
        <v>0</v>
      </c>
      <c r="AI80" s="4">
        <f t="shared" si="112"/>
        <v>0</v>
      </c>
      <c r="AJ80" s="4">
        <f t="shared" si="113"/>
        <v>0</v>
      </c>
      <c r="AK80" s="4">
        <f t="shared" si="114"/>
        <v>0</v>
      </c>
      <c r="AM80" s="4">
        <f t="shared" si="115"/>
        <v>0</v>
      </c>
      <c r="AN80" s="4">
        <f t="shared" si="116"/>
        <v>0</v>
      </c>
      <c r="AO80" s="4">
        <f t="shared" si="117"/>
        <v>0</v>
      </c>
      <c r="AP80" s="4">
        <f t="shared" si="118"/>
        <v>0</v>
      </c>
      <c r="AQ80" s="4">
        <f t="shared" si="119"/>
        <v>0</v>
      </c>
      <c r="AR80" s="4">
        <f t="shared" si="120"/>
        <v>0</v>
      </c>
      <c r="AS80" s="4">
        <f t="shared" si="121"/>
        <v>0</v>
      </c>
      <c r="AT80" s="4">
        <f t="shared" si="122"/>
        <v>0</v>
      </c>
      <c r="AU80" s="4">
        <f t="shared" si="123"/>
        <v>0</v>
      </c>
    </row>
    <row r="81" spans="2:65" x14ac:dyDescent="0.25">
      <c r="B81" s="17">
        <v>45827</v>
      </c>
      <c r="C81" s="21">
        <v>0.83333333333333337</v>
      </c>
      <c r="D81" s="29" t="s">
        <v>43</v>
      </c>
      <c r="E81" s="37"/>
      <c r="F81" s="11" t="s">
        <v>7</v>
      </c>
      <c r="G81" s="38"/>
      <c r="H81" s="25" t="s">
        <v>58</v>
      </c>
      <c r="I81" s="37"/>
      <c r="J81" s="11" t="s">
        <v>7</v>
      </c>
      <c r="K81" s="38"/>
      <c r="L81" s="37"/>
      <c r="M81" s="11" t="s">
        <v>7</v>
      </c>
      <c r="N81" s="38"/>
      <c r="O81" s="37"/>
      <c r="P81" s="11" t="s">
        <v>7</v>
      </c>
      <c r="Q81" s="38"/>
      <c r="R81" s="37"/>
      <c r="S81" s="11" t="s">
        <v>7</v>
      </c>
      <c r="T81" s="38"/>
      <c r="U81" s="37"/>
      <c r="V81" s="11" t="s">
        <v>7</v>
      </c>
      <c r="W81" s="38"/>
      <c r="X81" s="12">
        <f t="shared" si="124"/>
        <v>0</v>
      </c>
      <c r="Y81" s="13" t="s">
        <v>7</v>
      </c>
      <c r="Z81" s="14">
        <f t="shared" si="125"/>
        <v>0</v>
      </c>
      <c r="AB81" s="4">
        <f t="shared" si="105"/>
        <v>0</v>
      </c>
      <c r="AC81" s="4">
        <f t="shared" si="106"/>
        <v>0</v>
      </c>
      <c r="AD81" s="4">
        <f t="shared" si="107"/>
        <v>0</v>
      </c>
      <c r="AE81" s="4">
        <f t="shared" si="108"/>
        <v>0</v>
      </c>
      <c r="AF81" s="4">
        <f t="shared" si="109"/>
        <v>0</v>
      </c>
      <c r="AG81" s="4">
        <f t="shared" si="110"/>
        <v>0</v>
      </c>
      <c r="AH81" s="4">
        <f t="shared" si="111"/>
        <v>0</v>
      </c>
      <c r="AI81" s="4">
        <f t="shared" si="112"/>
        <v>0</v>
      </c>
      <c r="AJ81" s="4">
        <f t="shared" si="113"/>
        <v>0</v>
      </c>
      <c r="AK81" s="4">
        <f t="shared" si="114"/>
        <v>0</v>
      </c>
      <c r="AM81" s="4">
        <f t="shared" si="115"/>
        <v>0</v>
      </c>
      <c r="AN81" s="4">
        <f t="shared" si="116"/>
        <v>0</v>
      </c>
      <c r="AO81" s="4">
        <f t="shared" si="117"/>
        <v>0</v>
      </c>
      <c r="AP81" s="4">
        <f t="shared" si="118"/>
        <v>0</v>
      </c>
      <c r="AQ81" s="4">
        <f t="shared" si="119"/>
        <v>0</v>
      </c>
      <c r="AR81" s="4">
        <f t="shared" si="120"/>
        <v>0</v>
      </c>
      <c r="AS81" s="4">
        <f t="shared" si="121"/>
        <v>0</v>
      </c>
      <c r="AT81" s="4">
        <f t="shared" si="122"/>
        <v>0</v>
      </c>
      <c r="AU81" s="4">
        <f t="shared" si="123"/>
        <v>0</v>
      </c>
    </row>
    <row r="82" spans="2:65" x14ac:dyDescent="0.25">
      <c r="B82" s="17">
        <v>45828</v>
      </c>
      <c r="C82" s="21">
        <v>0.6875</v>
      </c>
      <c r="D82" s="29" t="s">
        <v>42</v>
      </c>
      <c r="E82" s="37"/>
      <c r="F82" s="11" t="s">
        <v>7</v>
      </c>
      <c r="G82" s="38"/>
      <c r="H82" s="25" t="s">
        <v>38</v>
      </c>
      <c r="I82" s="37"/>
      <c r="J82" s="11" t="s">
        <v>7</v>
      </c>
      <c r="K82" s="38"/>
      <c r="L82" s="37"/>
      <c r="M82" s="11" t="s">
        <v>7</v>
      </c>
      <c r="N82" s="38"/>
      <c r="O82" s="37"/>
      <c r="P82" s="11" t="s">
        <v>7</v>
      </c>
      <c r="Q82" s="38"/>
      <c r="R82" s="37"/>
      <c r="S82" s="11" t="s">
        <v>7</v>
      </c>
      <c r="T82" s="38"/>
      <c r="U82" s="37"/>
      <c r="V82" s="11" t="s">
        <v>7</v>
      </c>
      <c r="W82" s="38"/>
      <c r="X82" s="12">
        <f t="shared" si="124"/>
        <v>0</v>
      </c>
      <c r="Y82" s="13" t="s">
        <v>7</v>
      </c>
      <c r="Z82" s="14">
        <f t="shared" si="125"/>
        <v>0</v>
      </c>
      <c r="AB82" s="4">
        <f t="shared" si="105"/>
        <v>0</v>
      </c>
      <c r="AC82" s="4">
        <f t="shared" si="106"/>
        <v>0</v>
      </c>
      <c r="AD82" s="4">
        <f t="shared" si="107"/>
        <v>0</v>
      </c>
      <c r="AE82" s="4">
        <f t="shared" si="108"/>
        <v>0</v>
      </c>
      <c r="AF82" s="4">
        <f t="shared" si="109"/>
        <v>0</v>
      </c>
      <c r="AG82" s="4">
        <f t="shared" si="110"/>
        <v>0</v>
      </c>
      <c r="AH82" s="4">
        <f t="shared" si="111"/>
        <v>0</v>
      </c>
      <c r="AI82" s="4">
        <f t="shared" si="112"/>
        <v>0</v>
      </c>
      <c r="AJ82" s="4">
        <f t="shared" si="113"/>
        <v>0</v>
      </c>
      <c r="AK82" s="4">
        <f t="shared" si="114"/>
        <v>0</v>
      </c>
      <c r="AM82" s="4">
        <f t="shared" si="115"/>
        <v>0</v>
      </c>
      <c r="AN82" s="4">
        <f t="shared" si="116"/>
        <v>0</v>
      </c>
      <c r="AO82" s="4">
        <f t="shared" si="117"/>
        <v>0</v>
      </c>
      <c r="AP82" s="4">
        <f t="shared" si="118"/>
        <v>0</v>
      </c>
      <c r="AQ82" s="4">
        <f t="shared" si="119"/>
        <v>0</v>
      </c>
      <c r="AR82" s="4">
        <f t="shared" si="120"/>
        <v>0</v>
      </c>
      <c r="AS82" s="4">
        <f t="shared" si="121"/>
        <v>0</v>
      </c>
      <c r="AT82" s="4">
        <f t="shared" si="122"/>
        <v>0</v>
      </c>
      <c r="AU82" s="4">
        <f t="shared" si="123"/>
        <v>0</v>
      </c>
    </row>
    <row r="83" spans="2:65" x14ac:dyDescent="0.25">
      <c r="B83" s="17">
        <v>45828</v>
      </c>
      <c r="C83" s="21">
        <v>0.83333333333333337</v>
      </c>
      <c r="D83" s="29" t="s">
        <v>43</v>
      </c>
      <c r="E83" s="37"/>
      <c r="F83" s="11" t="s">
        <v>7</v>
      </c>
      <c r="G83" s="38"/>
      <c r="H83" s="25" t="s">
        <v>41</v>
      </c>
      <c r="I83" s="37"/>
      <c r="J83" s="11" t="s">
        <v>7</v>
      </c>
      <c r="K83" s="38"/>
      <c r="L83" s="37"/>
      <c r="M83" s="11" t="s">
        <v>7</v>
      </c>
      <c r="N83" s="38"/>
      <c r="O83" s="37"/>
      <c r="P83" s="11" t="s">
        <v>7</v>
      </c>
      <c r="Q83" s="38"/>
      <c r="R83" s="37"/>
      <c r="S83" s="11" t="s">
        <v>7</v>
      </c>
      <c r="T83" s="38"/>
      <c r="U83" s="37"/>
      <c r="V83" s="11" t="s">
        <v>7</v>
      </c>
      <c r="W83" s="38"/>
      <c r="X83" s="12">
        <f t="shared" si="124"/>
        <v>0</v>
      </c>
      <c r="Y83" s="13" t="s">
        <v>7</v>
      </c>
      <c r="Z83" s="14">
        <f t="shared" si="125"/>
        <v>0</v>
      </c>
      <c r="AB83" s="4">
        <f t="shared" si="105"/>
        <v>0</v>
      </c>
      <c r="AC83" s="4">
        <f t="shared" si="106"/>
        <v>0</v>
      </c>
      <c r="AD83" s="4">
        <f t="shared" si="107"/>
        <v>0</v>
      </c>
      <c r="AE83" s="4">
        <f t="shared" si="108"/>
        <v>0</v>
      </c>
      <c r="AF83" s="4">
        <f t="shared" si="109"/>
        <v>0</v>
      </c>
      <c r="AG83" s="4">
        <f t="shared" si="110"/>
        <v>0</v>
      </c>
      <c r="AH83" s="4">
        <f t="shared" si="111"/>
        <v>0</v>
      </c>
      <c r="AI83" s="4">
        <f t="shared" si="112"/>
        <v>0</v>
      </c>
      <c r="AJ83" s="4">
        <f t="shared" si="113"/>
        <v>0</v>
      </c>
      <c r="AK83" s="4">
        <f t="shared" si="114"/>
        <v>0</v>
      </c>
      <c r="AM83" s="4">
        <f t="shared" si="115"/>
        <v>0</v>
      </c>
      <c r="AN83" s="4">
        <f t="shared" si="116"/>
        <v>0</v>
      </c>
      <c r="AO83" s="4">
        <f t="shared" si="117"/>
        <v>0</v>
      </c>
      <c r="AP83" s="4">
        <f t="shared" si="118"/>
        <v>0</v>
      </c>
      <c r="AQ83" s="4">
        <f t="shared" si="119"/>
        <v>0</v>
      </c>
      <c r="AR83" s="4">
        <f t="shared" si="120"/>
        <v>0</v>
      </c>
      <c r="AS83" s="4">
        <f t="shared" si="121"/>
        <v>0</v>
      </c>
      <c r="AT83" s="4">
        <f t="shared" si="122"/>
        <v>0</v>
      </c>
      <c r="AU83" s="4">
        <f t="shared" si="123"/>
        <v>0</v>
      </c>
    </row>
    <row r="84" spans="2:65" x14ac:dyDescent="0.25">
      <c r="B84" s="17">
        <v>45829</v>
      </c>
      <c r="C84" s="21">
        <v>0.6875</v>
      </c>
      <c r="D84" s="29" t="s">
        <v>38</v>
      </c>
      <c r="E84" s="37"/>
      <c r="F84" s="11" t="s">
        <v>7</v>
      </c>
      <c r="G84" s="38"/>
      <c r="H84" s="25" t="s">
        <v>56</v>
      </c>
      <c r="I84" s="37"/>
      <c r="J84" s="11" t="s">
        <v>7</v>
      </c>
      <c r="K84" s="38"/>
      <c r="L84" s="37"/>
      <c r="M84" s="11" t="s">
        <v>7</v>
      </c>
      <c r="N84" s="38"/>
      <c r="O84" s="37"/>
      <c r="P84" s="11" t="s">
        <v>7</v>
      </c>
      <c r="Q84" s="38"/>
      <c r="R84" s="37"/>
      <c r="S84" s="11" t="s">
        <v>7</v>
      </c>
      <c r="T84" s="38"/>
      <c r="U84" s="37"/>
      <c r="V84" s="11" t="s">
        <v>7</v>
      </c>
      <c r="W84" s="38"/>
      <c r="X84" s="12">
        <f t="shared" si="124"/>
        <v>0</v>
      </c>
      <c r="Y84" s="13" t="s">
        <v>7</v>
      </c>
      <c r="Z84" s="14">
        <f t="shared" si="125"/>
        <v>0</v>
      </c>
      <c r="AB84" s="4">
        <f t="shared" si="105"/>
        <v>0</v>
      </c>
      <c r="AC84" s="4">
        <f t="shared" si="106"/>
        <v>0</v>
      </c>
      <c r="AD84" s="4">
        <f t="shared" si="107"/>
        <v>0</v>
      </c>
      <c r="AE84" s="4">
        <f t="shared" si="108"/>
        <v>0</v>
      </c>
      <c r="AF84" s="4">
        <f t="shared" si="109"/>
        <v>0</v>
      </c>
      <c r="AG84" s="4">
        <f t="shared" si="110"/>
        <v>0</v>
      </c>
      <c r="AH84" s="4">
        <f t="shared" si="111"/>
        <v>0</v>
      </c>
      <c r="AI84" s="4">
        <f t="shared" si="112"/>
        <v>0</v>
      </c>
      <c r="AJ84" s="4">
        <f t="shared" si="113"/>
        <v>0</v>
      </c>
      <c r="AK84" s="4">
        <f t="shared" si="114"/>
        <v>0</v>
      </c>
      <c r="AM84" s="4">
        <f t="shared" si="115"/>
        <v>0</v>
      </c>
      <c r="AN84" s="4">
        <f t="shared" si="116"/>
        <v>0</v>
      </c>
      <c r="AO84" s="4">
        <f t="shared" si="117"/>
        <v>0</v>
      </c>
      <c r="AP84" s="4">
        <f t="shared" si="118"/>
        <v>0</v>
      </c>
      <c r="AQ84" s="4">
        <f t="shared" si="119"/>
        <v>0</v>
      </c>
      <c r="AR84" s="4">
        <f t="shared" si="120"/>
        <v>0</v>
      </c>
      <c r="AS84" s="4">
        <f t="shared" si="121"/>
        <v>0</v>
      </c>
      <c r="AT84" s="4">
        <f t="shared" si="122"/>
        <v>0</v>
      </c>
      <c r="AU84" s="4">
        <f t="shared" si="123"/>
        <v>0</v>
      </c>
    </row>
    <row r="85" spans="2:65" x14ac:dyDescent="0.25">
      <c r="B85" s="17">
        <v>45829</v>
      </c>
      <c r="C85" s="21">
        <v>0.83333333333333337</v>
      </c>
      <c r="D85" s="29" t="s">
        <v>42</v>
      </c>
      <c r="E85" s="37"/>
      <c r="F85" s="11" t="s">
        <v>7</v>
      </c>
      <c r="G85" s="38"/>
      <c r="H85" s="25" t="s">
        <v>58</v>
      </c>
      <c r="I85" s="37"/>
      <c r="J85" s="11" t="s">
        <v>7</v>
      </c>
      <c r="K85" s="38"/>
      <c r="L85" s="37"/>
      <c r="M85" s="11" t="s">
        <v>7</v>
      </c>
      <c r="N85" s="38"/>
      <c r="O85" s="37"/>
      <c r="P85" s="11" t="s">
        <v>7</v>
      </c>
      <c r="Q85" s="38"/>
      <c r="R85" s="37"/>
      <c r="S85" s="11" t="s">
        <v>7</v>
      </c>
      <c r="T85" s="38"/>
      <c r="U85" s="37"/>
      <c r="V85" s="11" t="s">
        <v>7</v>
      </c>
      <c r="W85" s="38"/>
      <c r="X85" s="12">
        <f t="shared" si="124"/>
        <v>0</v>
      </c>
      <c r="Y85" s="13" t="s">
        <v>7</v>
      </c>
      <c r="Z85" s="14">
        <f t="shared" si="125"/>
        <v>0</v>
      </c>
      <c r="AB85" s="4">
        <f t="shared" si="105"/>
        <v>0</v>
      </c>
      <c r="AC85" s="4">
        <f t="shared" si="106"/>
        <v>0</v>
      </c>
      <c r="AD85" s="4">
        <f t="shared" si="107"/>
        <v>0</v>
      </c>
      <c r="AE85" s="4">
        <f t="shared" si="108"/>
        <v>0</v>
      </c>
      <c r="AF85" s="4">
        <f t="shared" si="109"/>
        <v>0</v>
      </c>
      <c r="AG85" s="4">
        <f t="shared" si="110"/>
        <v>0</v>
      </c>
      <c r="AH85" s="4">
        <f t="shared" si="111"/>
        <v>0</v>
      </c>
      <c r="AI85" s="4">
        <f t="shared" si="112"/>
        <v>0</v>
      </c>
      <c r="AJ85" s="4">
        <f t="shared" si="113"/>
        <v>0</v>
      </c>
      <c r="AK85" s="4">
        <f t="shared" si="114"/>
        <v>0</v>
      </c>
      <c r="AM85" s="4">
        <f t="shared" si="115"/>
        <v>0</v>
      </c>
      <c r="AN85" s="4">
        <f t="shared" si="116"/>
        <v>0</v>
      </c>
      <c r="AO85" s="4">
        <f t="shared" si="117"/>
        <v>0</v>
      </c>
      <c r="AP85" s="4">
        <f t="shared" si="118"/>
        <v>0</v>
      </c>
      <c r="AQ85" s="4">
        <f t="shared" si="119"/>
        <v>0</v>
      </c>
      <c r="AR85" s="4">
        <f t="shared" si="120"/>
        <v>0</v>
      </c>
      <c r="AS85" s="4">
        <f t="shared" si="121"/>
        <v>0</v>
      </c>
      <c r="AT85" s="4">
        <f t="shared" si="122"/>
        <v>0</v>
      </c>
      <c r="AU85" s="4">
        <f t="shared" si="123"/>
        <v>0</v>
      </c>
    </row>
    <row r="86" spans="2:65" x14ac:dyDescent="0.25">
      <c r="B86" s="17">
        <v>45830</v>
      </c>
      <c r="C86" s="21">
        <v>0.54166666666666663</v>
      </c>
      <c r="D86" s="29" t="s">
        <v>43</v>
      </c>
      <c r="E86" s="37"/>
      <c r="F86" s="11" t="s">
        <v>7</v>
      </c>
      <c r="G86" s="38"/>
      <c r="H86" s="25" t="s">
        <v>38</v>
      </c>
      <c r="I86" s="37"/>
      <c r="J86" s="11" t="s">
        <v>7</v>
      </c>
      <c r="K86" s="38"/>
      <c r="L86" s="37"/>
      <c r="M86" s="11" t="s">
        <v>7</v>
      </c>
      <c r="N86" s="38"/>
      <c r="O86" s="37"/>
      <c r="P86" s="11" t="s">
        <v>7</v>
      </c>
      <c r="Q86" s="38"/>
      <c r="R86" s="37"/>
      <c r="S86" s="11" t="s">
        <v>7</v>
      </c>
      <c r="T86" s="38"/>
      <c r="U86" s="37"/>
      <c r="V86" s="11" t="s">
        <v>7</v>
      </c>
      <c r="W86" s="38"/>
      <c r="X86" s="12">
        <f t="shared" si="124"/>
        <v>0</v>
      </c>
      <c r="Y86" s="13" t="s">
        <v>7</v>
      </c>
      <c r="Z86" s="14">
        <f t="shared" si="125"/>
        <v>0</v>
      </c>
      <c r="AB86" s="4">
        <f t="shared" si="105"/>
        <v>0</v>
      </c>
      <c r="AC86" s="4">
        <f t="shared" si="106"/>
        <v>0</v>
      </c>
      <c r="AD86" s="4">
        <f t="shared" si="107"/>
        <v>0</v>
      </c>
      <c r="AE86" s="4">
        <f t="shared" si="108"/>
        <v>0</v>
      </c>
      <c r="AF86" s="4">
        <f t="shared" si="109"/>
        <v>0</v>
      </c>
      <c r="AG86" s="4">
        <f t="shared" si="110"/>
        <v>0</v>
      </c>
      <c r="AH86" s="4">
        <f t="shared" si="111"/>
        <v>0</v>
      </c>
      <c r="AI86" s="4">
        <f t="shared" si="112"/>
        <v>0</v>
      </c>
      <c r="AJ86" s="4">
        <f t="shared" si="113"/>
        <v>0</v>
      </c>
      <c r="AK86" s="4">
        <f t="shared" si="114"/>
        <v>0</v>
      </c>
      <c r="AM86" s="4">
        <f t="shared" si="115"/>
        <v>0</v>
      </c>
      <c r="AN86" s="4">
        <f t="shared" si="116"/>
        <v>0</v>
      </c>
      <c r="AO86" s="4">
        <f t="shared" si="117"/>
        <v>0</v>
      </c>
      <c r="AP86" s="4">
        <f t="shared" si="118"/>
        <v>0</v>
      </c>
      <c r="AQ86" s="4">
        <f t="shared" si="119"/>
        <v>0</v>
      </c>
      <c r="AR86" s="4">
        <f t="shared" si="120"/>
        <v>0</v>
      </c>
      <c r="AS86" s="4">
        <f t="shared" si="121"/>
        <v>0</v>
      </c>
      <c r="AT86" s="4">
        <f t="shared" si="122"/>
        <v>0</v>
      </c>
      <c r="AU86" s="4">
        <f t="shared" si="123"/>
        <v>0</v>
      </c>
    </row>
    <row r="87" spans="2:65" x14ac:dyDescent="0.25">
      <c r="B87" s="17">
        <v>45830</v>
      </c>
      <c r="C87" s="21">
        <v>0.6875</v>
      </c>
      <c r="D87" s="29" t="s">
        <v>42</v>
      </c>
      <c r="E87" s="37"/>
      <c r="F87" s="11" t="s">
        <v>7</v>
      </c>
      <c r="G87" s="38"/>
      <c r="H87" s="25" t="s">
        <v>56</v>
      </c>
      <c r="I87" s="37"/>
      <c r="J87" s="11" t="s">
        <v>7</v>
      </c>
      <c r="K87" s="38"/>
      <c r="L87" s="37"/>
      <c r="M87" s="11" t="s">
        <v>7</v>
      </c>
      <c r="N87" s="38"/>
      <c r="O87" s="37"/>
      <c r="P87" s="11" t="s">
        <v>7</v>
      </c>
      <c r="Q87" s="38"/>
      <c r="R87" s="37"/>
      <c r="S87" s="11" t="s">
        <v>7</v>
      </c>
      <c r="T87" s="38"/>
      <c r="U87" s="37"/>
      <c r="V87" s="11" t="s">
        <v>7</v>
      </c>
      <c r="W87" s="38"/>
      <c r="X87" s="12">
        <f t="shared" si="124"/>
        <v>0</v>
      </c>
      <c r="Y87" s="13" t="s">
        <v>7</v>
      </c>
      <c r="Z87" s="14">
        <f t="shared" si="125"/>
        <v>0</v>
      </c>
      <c r="AB87" s="4">
        <f t="shared" si="105"/>
        <v>0</v>
      </c>
      <c r="AC87" s="4">
        <f t="shared" si="106"/>
        <v>0</v>
      </c>
      <c r="AD87" s="4">
        <f t="shared" si="107"/>
        <v>0</v>
      </c>
      <c r="AE87" s="4">
        <f t="shared" si="108"/>
        <v>0</v>
      </c>
      <c r="AF87" s="4">
        <f t="shared" si="109"/>
        <v>0</v>
      </c>
      <c r="AG87" s="4">
        <f t="shared" si="110"/>
        <v>0</v>
      </c>
      <c r="AH87" s="4">
        <f t="shared" si="111"/>
        <v>0</v>
      </c>
      <c r="AI87" s="4">
        <f t="shared" si="112"/>
        <v>0</v>
      </c>
      <c r="AJ87" s="4">
        <f t="shared" si="113"/>
        <v>0</v>
      </c>
      <c r="AK87" s="4">
        <f t="shared" si="114"/>
        <v>0</v>
      </c>
      <c r="AM87" s="4">
        <f t="shared" si="115"/>
        <v>0</v>
      </c>
      <c r="AN87" s="4">
        <f t="shared" si="116"/>
        <v>0</v>
      </c>
      <c r="AO87" s="4">
        <f t="shared" si="117"/>
        <v>0</v>
      </c>
      <c r="AP87" s="4">
        <f t="shared" si="118"/>
        <v>0</v>
      </c>
      <c r="AQ87" s="4">
        <f t="shared" si="119"/>
        <v>0</v>
      </c>
      <c r="AR87" s="4">
        <f t="shared" si="120"/>
        <v>0</v>
      </c>
      <c r="AS87" s="4">
        <f t="shared" si="121"/>
        <v>0</v>
      </c>
      <c r="AT87" s="4">
        <f t="shared" si="122"/>
        <v>0</v>
      </c>
      <c r="AU87" s="4">
        <f t="shared" si="123"/>
        <v>0</v>
      </c>
    </row>
    <row r="88" spans="2:65" x14ac:dyDescent="0.25">
      <c r="B88" s="17">
        <v>45830</v>
      </c>
      <c r="C88" s="21">
        <v>0.83333333333333337</v>
      </c>
      <c r="D88" s="29" t="s">
        <v>58</v>
      </c>
      <c r="E88" s="37"/>
      <c r="F88" s="11" t="s">
        <v>7</v>
      </c>
      <c r="G88" s="38"/>
      <c r="H88" s="25" t="s">
        <v>41</v>
      </c>
      <c r="I88" s="37"/>
      <c r="J88" s="11" t="s">
        <v>7</v>
      </c>
      <c r="K88" s="38"/>
      <c r="L88" s="37"/>
      <c r="M88" s="11" t="s">
        <v>7</v>
      </c>
      <c r="N88" s="38"/>
      <c r="O88" s="37"/>
      <c r="P88" s="11" t="s">
        <v>7</v>
      </c>
      <c r="Q88" s="38"/>
      <c r="R88" s="37"/>
      <c r="S88" s="11" t="s">
        <v>7</v>
      </c>
      <c r="T88" s="38"/>
      <c r="U88" s="37"/>
      <c r="V88" s="11" t="s">
        <v>7</v>
      </c>
      <c r="W88" s="38"/>
      <c r="X88" s="12">
        <f t="shared" si="124"/>
        <v>0</v>
      </c>
      <c r="Y88" s="13" t="s">
        <v>7</v>
      </c>
      <c r="Z88" s="14">
        <f t="shared" si="125"/>
        <v>0</v>
      </c>
      <c r="AB88" s="4">
        <f t="shared" si="105"/>
        <v>0</v>
      </c>
      <c r="AC88" s="4">
        <f t="shared" si="106"/>
        <v>0</v>
      </c>
      <c r="AD88" s="4">
        <f t="shared" si="107"/>
        <v>0</v>
      </c>
      <c r="AE88" s="4">
        <f t="shared" si="108"/>
        <v>0</v>
      </c>
      <c r="AF88" s="4">
        <f t="shared" si="109"/>
        <v>0</v>
      </c>
      <c r="AG88" s="4">
        <f t="shared" si="110"/>
        <v>0</v>
      </c>
      <c r="AH88" s="4">
        <f t="shared" si="111"/>
        <v>0</v>
      </c>
      <c r="AI88" s="4">
        <f t="shared" si="112"/>
        <v>0</v>
      </c>
      <c r="AJ88" s="4">
        <f t="shared" si="113"/>
        <v>0</v>
      </c>
      <c r="AK88" s="4">
        <f t="shared" si="114"/>
        <v>0</v>
      </c>
      <c r="AM88" s="4">
        <f t="shared" si="115"/>
        <v>0</v>
      </c>
      <c r="AN88" s="4">
        <f t="shared" si="116"/>
        <v>0</v>
      </c>
      <c r="AO88" s="4">
        <f t="shared" si="117"/>
        <v>0</v>
      </c>
      <c r="AP88" s="4">
        <f t="shared" si="118"/>
        <v>0</v>
      </c>
      <c r="AQ88" s="4">
        <f t="shared" si="119"/>
        <v>0</v>
      </c>
      <c r="AR88" s="4">
        <f t="shared" si="120"/>
        <v>0</v>
      </c>
      <c r="AS88" s="4">
        <f t="shared" si="121"/>
        <v>0</v>
      </c>
      <c r="AT88" s="4">
        <f t="shared" si="122"/>
        <v>0</v>
      </c>
      <c r="AU88" s="4">
        <f t="shared" si="123"/>
        <v>0</v>
      </c>
    </row>
    <row r="90" spans="2:65" ht="15" x14ac:dyDescent="0.25">
      <c r="B90" s="70" t="s">
        <v>72</v>
      </c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V90" s="63" t="s">
        <v>80</v>
      </c>
      <c r="AW90" s="64"/>
      <c r="AX90" s="65"/>
      <c r="AY90" s="63" t="s">
        <v>15</v>
      </c>
      <c r="AZ90" s="64"/>
      <c r="BA90" s="65"/>
      <c r="BB90" s="63" t="s">
        <v>61</v>
      </c>
      <c r="BC90" s="64"/>
      <c r="BD90" s="64"/>
      <c r="BE90" s="64"/>
      <c r="BF90" s="64"/>
      <c r="BG90" s="65"/>
      <c r="BH90" s="63" t="s">
        <v>62</v>
      </c>
      <c r="BI90" s="64"/>
      <c r="BJ90" s="65"/>
      <c r="BK90" s="63" t="s">
        <v>63</v>
      </c>
      <c r="BL90" s="64"/>
      <c r="BM90" s="65"/>
    </row>
    <row r="91" spans="2:65" ht="14.25" x14ac:dyDescent="0.25">
      <c r="B91" s="66" t="s">
        <v>73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V91" s="36" t="s">
        <v>44</v>
      </c>
      <c r="AW91" s="36" t="s">
        <v>45</v>
      </c>
      <c r="AX91" s="36" t="s">
        <v>46</v>
      </c>
      <c r="AY91" s="36" t="s">
        <v>77</v>
      </c>
      <c r="AZ91" s="36" t="s">
        <v>21</v>
      </c>
      <c r="BA91" s="36" t="s">
        <v>26</v>
      </c>
      <c r="BB91" s="36" t="s">
        <v>16</v>
      </c>
      <c r="BC91" s="36" t="s">
        <v>18</v>
      </c>
      <c r="BD91" s="36" t="s">
        <v>17</v>
      </c>
      <c r="BE91" s="36" t="s">
        <v>27</v>
      </c>
      <c r="BF91" s="36" t="s">
        <v>28</v>
      </c>
      <c r="BG91" s="36" t="s">
        <v>29</v>
      </c>
      <c r="BH91" s="36" t="s">
        <v>21</v>
      </c>
      <c r="BI91" s="36" t="s">
        <v>78</v>
      </c>
      <c r="BJ91" s="36" t="s">
        <v>79</v>
      </c>
      <c r="BK91" s="36" t="s">
        <v>21</v>
      </c>
      <c r="BL91" s="36" t="s">
        <v>78</v>
      </c>
      <c r="BM91" s="36" t="s">
        <v>79</v>
      </c>
    </row>
    <row r="92" spans="2:65" x14ac:dyDescent="0.25">
      <c r="B92" s="16" t="s">
        <v>2</v>
      </c>
      <c r="C92" s="20" t="s">
        <v>3</v>
      </c>
      <c r="D92" s="28"/>
      <c r="E92" s="67" t="s">
        <v>4</v>
      </c>
      <c r="F92" s="67"/>
      <c r="G92" s="67"/>
      <c r="H92" s="24"/>
      <c r="I92" s="68" t="s">
        <v>5</v>
      </c>
      <c r="J92" s="68"/>
      <c r="K92" s="68"/>
      <c r="L92" s="68" t="s">
        <v>6</v>
      </c>
      <c r="M92" s="68"/>
      <c r="N92" s="68"/>
      <c r="O92" s="68" t="s">
        <v>8</v>
      </c>
      <c r="P92" s="68"/>
      <c r="Q92" s="68"/>
      <c r="R92" s="68" t="s">
        <v>9</v>
      </c>
      <c r="S92" s="68"/>
      <c r="T92" s="68"/>
      <c r="U92" s="68" t="s">
        <v>10</v>
      </c>
      <c r="V92" s="68"/>
      <c r="W92" s="68"/>
      <c r="X92" s="68" t="s">
        <v>11</v>
      </c>
      <c r="Y92" s="68"/>
      <c r="Z92" s="68"/>
      <c r="AB92" s="4" t="s">
        <v>39</v>
      </c>
      <c r="AC92" s="4" t="s">
        <v>24</v>
      </c>
      <c r="AD92" s="4" t="s">
        <v>21</v>
      </c>
      <c r="AE92" s="4" t="s">
        <v>19</v>
      </c>
      <c r="AF92" s="4" t="s">
        <v>20</v>
      </c>
      <c r="AG92" s="4" t="s">
        <v>16</v>
      </c>
      <c r="AH92" s="8" t="s">
        <v>18</v>
      </c>
      <c r="AI92" s="8" t="s">
        <v>17</v>
      </c>
      <c r="AJ92" s="4" t="s">
        <v>22</v>
      </c>
      <c r="AK92" s="4" t="s">
        <v>23</v>
      </c>
      <c r="AM92" s="4" t="s">
        <v>25</v>
      </c>
      <c r="AN92" s="4" t="s">
        <v>26</v>
      </c>
      <c r="AO92" s="4" t="s">
        <v>19</v>
      </c>
      <c r="AP92" s="4" t="s">
        <v>20</v>
      </c>
      <c r="AQ92" s="8" t="s">
        <v>27</v>
      </c>
      <c r="AR92" s="8" t="s">
        <v>28</v>
      </c>
      <c r="AS92" s="8" t="s">
        <v>29</v>
      </c>
      <c r="AT92" s="4" t="s">
        <v>22</v>
      </c>
      <c r="AU92" s="4" t="s">
        <v>23</v>
      </c>
      <c r="AV92" s="35">
        <v>1</v>
      </c>
      <c r="AW92" s="34" t="str">
        <f>VLOOKUP($AV92,Dummy!$A:$R,2,FALSE)</f>
        <v>Alemanha</v>
      </c>
      <c r="AX92" s="32">
        <f>VLOOKUP($AV92,Dummy!$A:$R,3,FALSE)</f>
        <v>0</v>
      </c>
      <c r="AY92" s="32">
        <f>VLOOKUP($AV92,Dummy!$A:$R,4,FALSE)</f>
        <v>0</v>
      </c>
      <c r="AZ92" s="32">
        <f>VLOOKUP($AV92,Dummy!$A:$R,5,FALSE)</f>
        <v>0</v>
      </c>
      <c r="BA92" s="32">
        <f>VLOOKUP($AV92,Dummy!$A:$R,6,FALSE)</f>
        <v>0</v>
      </c>
      <c r="BB92" s="32">
        <f>VLOOKUP($AV92,Dummy!$A:$R,7,FALSE)</f>
        <v>0</v>
      </c>
      <c r="BC92" s="32">
        <f>VLOOKUP($AV92,Dummy!$A:$R,8,FALSE)</f>
        <v>0</v>
      </c>
      <c r="BD92" s="32">
        <f>VLOOKUP($AV92,Dummy!$A:$R,9,FALSE)</f>
        <v>0</v>
      </c>
      <c r="BE92" s="32">
        <f>VLOOKUP($AV92,Dummy!$A:$R,10,FALSE)</f>
        <v>0</v>
      </c>
      <c r="BF92" s="32">
        <f>VLOOKUP($AV92,Dummy!$A:$R,11,FALSE)</f>
        <v>0</v>
      </c>
      <c r="BG92" s="32">
        <f>VLOOKUP($AV92,Dummy!$A:$R,12,FALSE)</f>
        <v>0</v>
      </c>
      <c r="BH92" s="32">
        <f>VLOOKUP($AV92,Dummy!$A:$R,13,FALSE)</f>
        <v>0</v>
      </c>
      <c r="BI92" s="32">
        <f>VLOOKUP($AV92,Dummy!$A:$R,14,FALSE)</f>
        <v>0</v>
      </c>
      <c r="BJ92" s="33" t="str">
        <f>VLOOKUP($AV92,Dummy!$A:$R,15,FALSE)</f>
        <v>MAX</v>
      </c>
      <c r="BK92" s="32">
        <f>VLOOKUP($AV92,Dummy!$A:$R,16,FALSE)</f>
        <v>0</v>
      </c>
      <c r="BL92" s="32">
        <f>VLOOKUP($AV92,Dummy!$A:$R,17,FALSE)</f>
        <v>0</v>
      </c>
      <c r="BM92" s="33" t="str">
        <f>VLOOKUP($AV92,Dummy!$A:$R,18,FALSE)</f>
        <v>MAX</v>
      </c>
    </row>
    <row r="93" spans="2:65" x14ac:dyDescent="0.25">
      <c r="B93" s="17">
        <v>45847</v>
      </c>
      <c r="C93" s="21">
        <v>0.54166666666666663</v>
      </c>
      <c r="D93" s="29" t="s">
        <v>60</v>
      </c>
      <c r="E93" s="37"/>
      <c r="F93" s="11" t="s">
        <v>7</v>
      </c>
      <c r="G93" s="38"/>
      <c r="H93" s="25" t="s">
        <v>58</v>
      </c>
      <c r="I93" s="37"/>
      <c r="J93" s="11" t="s">
        <v>7</v>
      </c>
      <c r="K93" s="38"/>
      <c r="L93" s="37"/>
      <c r="M93" s="11" t="s">
        <v>7</v>
      </c>
      <c r="N93" s="38"/>
      <c r="O93" s="37"/>
      <c r="P93" s="11" t="s">
        <v>7</v>
      </c>
      <c r="Q93" s="38"/>
      <c r="R93" s="37"/>
      <c r="S93" s="11" t="s">
        <v>7</v>
      </c>
      <c r="T93" s="38"/>
      <c r="U93" s="37"/>
      <c r="V93" s="11" t="s">
        <v>7</v>
      </c>
      <c r="W93" s="38"/>
      <c r="X93" s="12">
        <f>SUM(I93,L93,O93,R93,U93)</f>
        <v>0</v>
      </c>
      <c r="Y93" s="13" t="s">
        <v>7</v>
      </c>
      <c r="Z93" s="14">
        <f>SUM(K93,N93,Q93,T93,W93)</f>
        <v>0</v>
      </c>
      <c r="AB93" s="4">
        <f>AE93+AF93</f>
        <v>0</v>
      </c>
      <c r="AC93" s="4">
        <f>IF(OR(E93="",G93=""),0,IF(E93&gt;G93,D93,H93))</f>
        <v>0</v>
      </c>
      <c r="AD93" s="4">
        <f>IF(OR(E93="",G93=""),0,1)</f>
        <v>0</v>
      </c>
      <c r="AE93" s="4">
        <f>IF(OR(E93="",G93=""),0,IF(E93&gt;G93,E93,G93))</f>
        <v>0</v>
      </c>
      <c r="AF93" s="4">
        <f>IF(OR(E93="",G93=""),0,IF(E93&gt;G93,G93,E93))</f>
        <v>0</v>
      </c>
      <c r="AG93" s="4">
        <f>IF(AND(AE93=3,AF93=0),1,0)</f>
        <v>0</v>
      </c>
      <c r="AH93" s="4">
        <f>IF(AND(AE93=3,AF93=1),1,0)</f>
        <v>0</v>
      </c>
      <c r="AI93" s="4">
        <f>IF(AND(AE93=3,AF93=2),1,0)</f>
        <v>0</v>
      </c>
      <c r="AJ93" s="4">
        <f>IF(E93&gt;G93,SUM(I93,L93,O93,R93,U93,),SUM(K93,N93,Q93,T93,W93))</f>
        <v>0</v>
      </c>
      <c r="AK93" s="4">
        <f>IF(E93&gt;G93,SUM(K93,N93,Q93,T93,W93),SUM(I93,L93,O93,R93,U93))</f>
        <v>0</v>
      </c>
      <c r="AM93" s="4">
        <f>IF(OR(E93="",G93=""),0,IF(E93&lt;G93,D93,H93))</f>
        <v>0</v>
      </c>
      <c r="AN93" s="4">
        <f>IF(OR(E93="",G93=""),0,1)</f>
        <v>0</v>
      </c>
      <c r="AO93" s="4">
        <f>IF(OR(E93="",G93=""),0,IF(E93&lt;G93,E93,G93))</f>
        <v>0</v>
      </c>
      <c r="AP93" s="4">
        <f>IF(OR(E93="",G93=""),0,IF(E93&lt;G93,G93,E93))</f>
        <v>0</v>
      </c>
      <c r="AQ93" s="4">
        <f>IF(AND(AO93=2,AP93=3),1,0)</f>
        <v>0</v>
      </c>
      <c r="AR93" s="4">
        <f>IF(AND(AO93=1,AP93=3),1,0)</f>
        <v>0</v>
      </c>
      <c r="AS93" s="4">
        <f>IF(AND(AO93=0,AP93=3),1,0)</f>
        <v>0</v>
      </c>
      <c r="AT93" s="4">
        <f>IF(E93&lt;G93,SUM(I93,L93,O93,R93,U93,),SUM(K93,N93,Q93,T93,W93))</f>
        <v>0</v>
      </c>
      <c r="AU93" s="4">
        <f>IF(E93&lt;G93,SUM(K93,N93,Q93,T93,W93),SUM(I93,L93,O93,R93,U93))</f>
        <v>0</v>
      </c>
      <c r="AV93" s="35">
        <v>2</v>
      </c>
      <c r="AW93" s="34" t="str">
        <f>VLOOKUP($AV93,Dummy!$A:$R,2,FALSE)</f>
        <v>Bélgica</v>
      </c>
      <c r="AX93" s="32">
        <f>VLOOKUP($AV93,Dummy!$A:$R,3,FALSE)</f>
        <v>0</v>
      </c>
      <c r="AY93" s="32">
        <f>VLOOKUP($AV93,Dummy!$A:$R,4,FALSE)</f>
        <v>0</v>
      </c>
      <c r="AZ93" s="32">
        <f>VLOOKUP($AV93,Dummy!$A:$R,5,FALSE)</f>
        <v>0</v>
      </c>
      <c r="BA93" s="32">
        <f>VLOOKUP($AV93,Dummy!$A:$R,6,FALSE)</f>
        <v>0</v>
      </c>
      <c r="BB93" s="32">
        <f>VLOOKUP($AV93,Dummy!$A:$R,7,FALSE)</f>
        <v>0</v>
      </c>
      <c r="BC93" s="32">
        <f>VLOOKUP($AV93,Dummy!$A:$R,8,FALSE)</f>
        <v>0</v>
      </c>
      <c r="BD93" s="32">
        <f>VLOOKUP($AV93,Dummy!$A:$R,9,FALSE)</f>
        <v>0</v>
      </c>
      <c r="BE93" s="32">
        <f>VLOOKUP($AV93,Dummy!$A:$R,10,FALSE)</f>
        <v>0</v>
      </c>
      <c r="BF93" s="32">
        <f>VLOOKUP($AV93,Dummy!$A:$R,11,FALSE)</f>
        <v>0</v>
      </c>
      <c r="BG93" s="32">
        <f>VLOOKUP($AV93,Dummy!$A:$R,12,FALSE)</f>
        <v>0</v>
      </c>
      <c r="BH93" s="32">
        <f>VLOOKUP($AV93,Dummy!$A:$R,13,FALSE)</f>
        <v>0</v>
      </c>
      <c r="BI93" s="32">
        <f>VLOOKUP($AV93,Dummy!$A:$R,14,FALSE)</f>
        <v>0</v>
      </c>
      <c r="BJ93" s="33" t="str">
        <f>VLOOKUP($AV93,Dummy!$A:$R,15,FALSE)</f>
        <v>MAX</v>
      </c>
      <c r="BK93" s="32">
        <f>VLOOKUP($AV93,Dummy!$A:$R,16,FALSE)</f>
        <v>0</v>
      </c>
      <c r="BL93" s="32">
        <f>VLOOKUP($AV93,Dummy!$A:$R,17,FALSE)</f>
        <v>0</v>
      </c>
      <c r="BM93" s="33" t="str">
        <f>VLOOKUP($AV93,Dummy!$A:$R,18,FALSE)</f>
        <v>MAX</v>
      </c>
    </row>
    <row r="94" spans="2:65" x14ac:dyDescent="0.25">
      <c r="B94" s="17">
        <v>45847</v>
      </c>
      <c r="C94" s="21">
        <v>0.70833333333333337</v>
      </c>
      <c r="D94" s="29" t="s">
        <v>40</v>
      </c>
      <c r="E94" s="37"/>
      <c r="F94" s="11" t="s">
        <v>7</v>
      </c>
      <c r="G94" s="38"/>
      <c r="H94" s="25" t="s">
        <v>49</v>
      </c>
      <c r="I94" s="37"/>
      <c r="J94" s="11" t="s">
        <v>7</v>
      </c>
      <c r="K94" s="38"/>
      <c r="L94" s="37"/>
      <c r="M94" s="11" t="s">
        <v>7</v>
      </c>
      <c r="N94" s="38"/>
      <c r="O94" s="37"/>
      <c r="P94" s="11" t="s">
        <v>7</v>
      </c>
      <c r="Q94" s="38"/>
      <c r="R94" s="37"/>
      <c r="S94" s="11" t="s">
        <v>7</v>
      </c>
      <c r="T94" s="38"/>
      <c r="U94" s="37"/>
      <c r="V94" s="11" t="s">
        <v>7</v>
      </c>
      <c r="W94" s="38"/>
      <c r="X94" s="12">
        <f t="shared" ref="X94:X104" si="126">SUM(I94,L94,O94,R94,U94)</f>
        <v>0</v>
      </c>
      <c r="Y94" s="13" t="s">
        <v>7</v>
      </c>
      <c r="Z94" s="14">
        <f t="shared" ref="Z94:Z104" si="127">SUM(K94,N94,Q94,T94,W94)</f>
        <v>0</v>
      </c>
      <c r="AB94" s="4">
        <f t="shared" ref="AB94:AB104" si="128">AE94+AF94</f>
        <v>0</v>
      </c>
      <c r="AC94" s="4">
        <f t="shared" ref="AC94:AC104" si="129">IF(OR(E94="",G94=""),0,IF(E94&gt;G94,D94,H94))</f>
        <v>0</v>
      </c>
      <c r="AD94" s="4">
        <f t="shared" ref="AD94:AD104" si="130">IF(OR(E94="",G94=""),0,1)</f>
        <v>0</v>
      </c>
      <c r="AE94" s="4">
        <f t="shared" ref="AE94:AE104" si="131">IF(OR(E94="",G94=""),0,IF(E94&gt;G94,E94,G94))</f>
        <v>0</v>
      </c>
      <c r="AF94" s="4">
        <f t="shared" ref="AF94:AF104" si="132">IF(OR(E94="",G94=""),0,IF(E94&gt;G94,G94,E94))</f>
        <v>0</v>
      </c>
      <c r="AG94" s="4">
        <f t="shared" ref="AG94:AG104" si="133">IF(AND(AE94=3,AF94=0),1,0)</f>
        <v>0</v>
      </c>
      <c r="AH94" s="4">
        <f t="shared" ref="AH94:AH104" si="134">IF(AND(AE94=3,AF94=1),1,0)</f>
        <v>0</v>
      </c>
      <c r="AI94" s="4">
        <f t="shared" ref="AI94:AI104" si="135">IF(AND(AE94=3,AF94=2),1,0)</f>
        <v>0</v>
      </c>
      <c r="AJ94" s="4">
        <f t="shared" ref="AJ94:AJ104" si="136">IF(E94&gt;G94,SUM(I94,L94,O94,R94,U94,),SUM(K94,N94,Q94,T94,W94))</f>
        <v>0</v>
      </c>
      <c r="AK94" s="4">
        <f t="shared" ref="AK94:AK104" si="137">IF(E94&gt;G94,SUM(K94,N94,Q94,T94,W94),SUM(I94,L94,O94,R94,U94))</f>
        <v>0</v>
      </c>
      <c r="AM94" s="4">
        <f t="shared" ref="AM94:AM104" si="138">IF(OR(E94="",G94=""),0,IF(E94&lt;G94,D94,H94))</f>
        <v>0</v>
      </c>
      <c r="AN94" s="4">
        <f t="shared" ref="AN94:AN104" si="139">IF(OR(E94="",G94=""),0,1)</f>
        <v>0</v>
      </c>
      <c r="AO94" s="4">
        <f t="shared" ref="AO94:AO104" si="140">IF(OR(E94="",G94=""),0,IF(E94&lt;G94,E94,G94))</f>
        <v>0</v>
      </c>
      <c r="AP94" s="4">
        <f t="shared" ref="AP94:AP104" si="141">IF(OR(E94="",G94=""),0,IF(E94&lt;G94,G94,E94))</f>
        <v>0</v>
      </c>
      <c r="AQ94" s="4">
        <f t="shared" ref="AQ94:AQ104" si="142">IF(AND(AO94=2,AP94=3),1,0)</f>
        <v>0</v>
      </c>
      <c r="AR94" s="4">
        <f t="shared" ref="AR94:AR104" si="143">IF(AND(AO94=1,AP94=3),1,0)</f>
        <v>0</v>
      </c>
      <c r="AS94" s="4">
        <f t="shared" ref="AS94:AS104" si="144">IF(AND(AO94=0,AP94=3),1,0)</f>
        <v>0</v>
      </c>
      <c r="AT94" s="4">
        <f t="shared" ref="AT94:AT104" si="145">IF(E94&lt;G94,SUM(I94,L94,O94,R94,U94,),SUM(K94,N94,Q94,T94,W94))</f>
        <v>0</v>
      </c>
      <c r="AU94" s="4">
        <f t="shared" ref="AU94:AU104" si="146">IF(E94&lt;G94,SUM(K94,N94,Q94,T94,W94),SUM(I94,L94,O94,R94,U94))</f>
        <v>0</v>
      </c>
      <c r="AV94" s="35">
        <v>3</v>
      </c>
      <c r="AW94" s="34" t="str">
        <f>VLOOKUP($AV94,Dummy!$A:$R,2,FALSE)</f>
        <v>Brasil</v>
      </c>
      <c r="AX94" s="32">
        <f>VLOOKUP($AV94,Dummy!$A:$R,3,FALSE)</f>
        <v>0</v>
      </c>
      <c r="AY94" s="32">
        <f>VLOOKUP($AV94,Dummy!$A:$R,4,FALSE)</f>
        <v>0</v>
      </c>
      <c r="AZ94" s="32">
        <f>VLOOKUP($AV94,Dummy!$A:$R,5,FALSE)</f>
        <v>0</v>
      </c>
      <c r="BA94" s="32">
        <f>VLOOKUP($AV94,Dummy!$A:$R,6,FALSE)</f>
        <v>0</v>
      </c>
      <c r="BB94" s="32">
        <f>VLOOKUP($AV94,Dummy!$A:$R,7,FALSE)</f>
        <v>0</v>
      </c>
      <c r="BC94" s="32">
        <f>VLOOKUP($AV94,Dummy!$A:$R,8,FALSE)</f>
        <v>0</v>
      </c>
      <c r="BD94" s="32">
        <f>VLOOKUP($AV94,Dummy!$A:$R,9,FALSE)</f>
        <v>0</v>
      </c>
      <c r="BE94" s="32">
        <f>VLOOKUP($AV94,Dummy!$A:$R,10,FALSE)</f>
        <v>0</v>
      </c>
      <c r="BF94" s="32">
        <f>VLOOKUP($AV94,Dummy!$A:$R,11,FALSE)</f>
        <v>0</v>
      </c>
      <c r="BG94" s="32">
        <f>VLOOKUP($AV94,Dummy!$A:$R,12,FALSE)</f>
        <v>0</v>
      </c>
      <c r="BH94" s="32">
        <f>VLOOKUP($AV94,Dummy!$A:$R,13,FALSE)</f>
        <v>0</v>
      </c>
      <c r="BI94" s="32">
        <f>VLOOKUP($AV94,Dummy!$A:$R,14,FALSE)</f>
        <v>0</v>
      </c>
      <c r="BJ94" s="33" t="str">
        <f>VLOOKUP($AV94,Dummy!$A:$R,15,FALSE)</f>
        <v>MAX</v>
      </c>
      <c r="BK94" s="32">
        <f>VLOOKUP($AV94,Dummy!$A:$R,16,FALSE)</f>
        <v>0</v>
      </c>
      <c r="BL94" s="32">
        <f>VLOOKUP($AV94,Dummy!$A:$R,17,FALSE)</f>
        <v>0</v>
      </c>
      <c r="BM94" s="33" t="str">
        <f>VLOOKUP($AV94,Dummy!$A:$R,18,FALSE)</f>
        <v>MAX</v>
      </c>
    </row>
    <row r="95" spans="2:65" x14ac:dyDescent="0.25">
      <c r="B95" s="17">
        <v>45847</v>
      </c>
      <c r="C95" s="21">
        <v>0.83333333333333337</v>
      </c>
      <c r="D95" s="29" t="s">
        <v>76</v>
      </c>
      <c r="E95" s="37"/>
      <c r="F95" s="11" t="s">
        <v>7</v>
      </c>
      <c r="G95" s="38"/>
      <c r="H95" s="25" t="s">
        <v>31</v>
      </c>
      <c r="I95" s="37"/>
      <c r="J95" s="11" t="s">
        <v>7</v>
      </c>
      <c r="K95" s="38"/>
      <c r="L95" s="37"/>
      <c r="M95" s="11" t="s">
        <v>7</v>
      </c>
      <c r="N95" s="38"/>
      <c r="O95" s="37"/>
      <c r="P95" s="11" t="s">
        <v>7</v>
      </c>
      <c r="Q95" s="38"/>
      <c r="R95" s="37"/>
      <c r="S95" s="11" t="s">
        <v>7</v>
      </c>
      <c r="T95" s="38"/>
      <c r="U95" s="37"/>
      <c r="V95" s="11" t="s">
        <v>7</v>
      </c>
      <c r="W95" s="38"/>
      <c r="X95" s="12">
        <f t="shared" si="126"/>
        <v>0</v>
      </c>
      <c r="Y95" s="13" t="s">
        <v>7</v>
      </c>
      <c r="Z95" s="14">
        <f t="shared" si="127"/>
        <v>0</v>
      </c>
      <c r="AB95" s="4">
        <f t="shared" si="128"/>
        <v>0</v>
      </c>
      <c r="AC95" s="4">
        <f t="shared" si="129"/>
        <v>0</v>
      </c>
      <c r="AD95" s="4">
        <f t="shared" si="130"/>
        <v>0</v>
      </c>
      <c r="AE95" s="4">
        <f t="shared" si="131"/>
        <v>0</v>
      </c>
      <c r="AF95" s="4">
        <f t="shared" si="132"/>
        <v>0</v>
      </c>
      <c r="AG95" s="4">
        <f t="shared" si="133"/>
        <v>0</v>
      </c>
      <c r="AH95" s="4">
        <f t="shared" si="134"/>
        <v>0</v>
      </c>
      <c r="AI95" s="4">
        <f t="shared" si="135"/>
        <v>0</v>
      </c>
      <c r="AJ95" s="4">
        <f t="shared" si="136"/>
        <v>0</v>
      </c>
      <c r="AK95" s="4">
        <f t="shared" si="137"/>
        <v>0</v>
      </c>
      <c r="AM95" s="4">
        <f t="shared" si="138"/>
        <v>0</v>
      </c>
      <c r="AN95" s="4">
        <f t="shared" si="139"/>
        <v>0</v>
      </c>
      <c r="AO95" s="4">
        <f t="shared" si="140"/>
        <v>0</v>
      </c>
      <c r="AP95" s="4">
        <f t="shared" si="141"/>
        <v>0</v>
      </c>
      <c r="AQ95" s="4">
        <f t="shared" si="142"/>
        <v>0</v>
      </c>
      <c r="AR95" s="4">
        <f t="shared" si="143"/>
        <v>0</v>
      </c>
      <c r="AS95" s="4">
        <f t="shared" si="144"/>
        <v>0</v>
      </c>
      <c r="AT95" s="4">
        <f t="shared" si="145"/>
        <v>0</v>
      </c>
      <c r="AU95" s="4">
        <f t="shared" si="146"/>
        <v>0</v>
      </c>
      <c r="AV95" s="35">
        <v>4</v>
      </c>
      <c r="AW95" s="34" t="str">
        <f>VLOOKUP($AV95,Dummy!$A:$R,2,FALSE)</f>
        <v>Bulgária</v>
      </c>
      <c r="AX95" s="32">
        <f>VLOOKUP($AV95,Dummy!$A:$R,3,FALSE)</f>
        <v>0</v>
      </c>
      <c r="AY95" s="32">
        <f>VLOOKUP($AV95,Dummy!$A:$R,4,FALSE)</f>
        <v>0</v>
      </c>
      <c r="AZ95" s="32">
        <f>VLOOKUP($AV95,Dummy!$A:$R,5,FALSE)</f>
        <v>0</v>
      </c>
      <c r="BA95" s="32">
        <f>VLOOKUP($AV95,Dummy!$A:$R,6,FALSE)</f>
        <v>0</v>
      </c>
      <c r="BB95" s="32">
        <f>VLOOKUP($AV95,Dummy!$A:$R,7,FALSE)</f>
        <v>0</v>
      </c>
      <c r="BC95" s="32">
        <f>VLOOKUP($AV95,Dummy!$A:$R,8,FALSE)</f>
        <v>0</v>
      </c>
      <c r="BD95" s="32">
        <f>VLOOKUP($AV95,Dummy!$A:$R,9,FALSE)</f>
        <v>0</v>
      </c>
      <c r="BE95" s="32">
        <f>VLOOKUP($AV95,Dummy!$A:$R,10,FALSE)</f>
        <v>0</v>
      </c>
      <c r="BF95" s="32">
        <f>VLOOKUP($AV95,Dummy!$A:$R,11,FALSE)</f>
        <v>0</v>
      </c>
      <c r="BG95" s="32">
        <f>VLOOKUP($AV95,Dummy!$A:$R,12,FALSE)</f>
        <v>0</v>
      </c>
      <c r="BH95" s="32">
        <f>VLOOKUP($AV95,Dummy!$A:$R,13,FALSE)</f>
        <v>0</v>
      </c>
      <c r="BI95" s="32">
        <f>VLOOKUP($AV95,Dummy!$A:$R,14,FALSE)</f>
        <v>0</v>
      </c>
      <c r="BJ95" s="33" t="str">
        <f>VLOOKUP($AV95,Dummy!$A:$R,15,FALSE)</f>
        <v>MAX</v>
      </c>
      <c r="BK95" s="32">
        <f>VLOOKUP($AV95,Dummy!$A:$R,16,FALSE)</f>
        <v>0</v>
      </c>
      <c r="BL95" s="32">
        <f>VLOOKUP($AV95,Dummy!$A:$R,17,FALSE)</f>
        <v>0</v>
      </c>
      <c r="BM95" s="33" t="str">
        <f>VLOOKUP($AV95,Dummy!$A:$R,18,FALSE)</f>
        <v>MAX</v>
      </c>
    </row>
    <row r="96" spans="2:65" x14ac:dyDescent="0.25">
      <c r="B96" s="17">
        <v>45848</v>
      </c>
      <c r="C96" s="21">
        <v>0.70833333333333337</v>
      </c>
      <c r="D96" s="29" t="s">
        <v>40</v>
      </c>
      <c r="E96" s="37"/>
      <c r="F96" s="11" t="s">
        <v>7</v>
      </c>
      <c r="G96" s="38"/>
      <c r="H96" s="25" t="s">
        <v>58</v>
      </c>
      <c r="I96" s="37"/>
      <c r="J96" s="11" t="s">
        <v>7</v>
      </c>
      <c r="K96" s="38"/>
      <c r="L96" s="37"/>
      <c r="M96" s="11" t="s">
        <v>7</v>
      </c>
      <c r="N96" s="38"/>
      <c r="O96" s="37"/>
      <c r="P96" s="11" t="s">
        <v>7</v>
      </c>
      <c r="Q96" s="38"/>
      <c r="R96" s="37"/>
      <c r="S96" s="11" t="s">
        <v>7</v>
      </c>
      <c r="T96" s="38"/>
      <c r="U96" s="37"/>
      <c r="V96" s="11" t="s">
        <v>7</v>
      </c>
      <c r="W96" s="38"/>
      <c r="X96" s="12">
        <f t="shared" si="126"/>
        <v>0</v>
      </c>
      <c r="Y96" s="13" t="s">
        <v>7</v>
      </c>
      <c r="Z96" s="14">
        <f t="shared" si="127"/>
        <v>0</v>
      </c>
      <c r="AB96" s="4">
        <f t="shared" si="128"/>
        <v>0</v>
      </c>
      <c r="AC96" s="4">
        <f t="shared" si="129"/>
        <v>0</v>
      </c>
      <c r="AD96" s="4">
        <f t="shared" si="130"/>
        <v>0</v>
      </c>
      <c r="AE96" s="4">
        <f t="shared" si="131"/>
        <v>0</v>
      </c>
      <c r="AF96" s="4">
        <f t="shared" si="132"/>
        <v>0</v>
      </c>
      <c r="AG96" s="4">
        <f t="shared" si="133"/>
        <v>0</v>
      </c>
      <c r="AH96" s="4">
        <f t="shared" si="134"/>
        <v>0</v>
      </c>
      <c r="AI96" s="4">
        <f t="shared" si="135"/>
        <v>0</v>
      </c>
      <c r="AJ96" s="4">
        <f t="shared" si="136"/>
        <v>0</v>
      </c>
      <c r="AK96" s="4">
        <f t="shared" si="137"/>
        <v>0</v>
      </c>
      <c r="AM96" s="4">
        <f t="shared" si="138"/>
        <v>0</v>
      </c>
      <c r="AN96" s="4">
        <f t="shared" si="139"/>
        <v>0</v>
      </c>
      <c r="AO96" s="4">
        <f t="shared" si="140"/>
        <v>0</v>
      </c>
      <c r="AP96" s="4">
        <f t="shared" si="141"/>
        <v>0</v>
      </c>
      <c r="AQ96" s="4">
        <f t="shared" si="142"/>
        <v>0</v>
      </c>
      <c r="AR96" s="4">
        <f t="shared" si="143"/>
        <v>0</v>
      </c>
      <c r="AS96" s="4">
        <f t="shared" si="144"/>
        <v>0</v>
      </c>
      <c r="AT96" s="4">
        <f t="shared" si="145"/>
        <v>0</v>
      </c>
      <c r="AU96" s="4">
        <f t="shared" si="146"/>
        <v>0</v>
      </c>
      <c r="AV96" s="35">
        <v>5</v>
      </c>
      <c r="AW96" s="34" t="str">
        <f>VLOOKUP($AV96,Dummy!$A:$R,2,FALSE)</f>
        <v>Canadá</v>
      </c>
      <c r="AX96" s="32">
        <f>VLOOKUP($AV96,Dummy!$A:$R,3,FALSE)</f>
        <v>0</v>
      </c>
      <c r="AY96" s="32">
        <f>VLOOKUP($AV96,Dummy!$A:$R,4,FALSE)</f>
        <v>0</v>
      </c>
      <c r="AZ96" s="32">
        <f>VLOOKUP($AV96,Dummy!$A:$R,5,FALSE)</f>
        <v>0</v>
      </c>
      <c r="BA96" s="32">
        <f>VLOOKUP($AV96,Dummy!$A:$R,6,FALSE)</f>
        <v>0</v>
      </c>
      <c r="BB96" s="32">
        <f>VLOOKUP($AV96,Dummy!$A:$R,7,FALSE)</f>
        <v>0</v>
      </c>
      <c r="BC96" s="32">
        <f>VLOOKUP($AV96,Dummy!$A:$R,8,FALSE)</f>
        <v>0</v>
      </c>
      <c r="BD96" s="32">
        <f>VLOOKUP($AV96,Dummy!$A:$R,9,FALSE)</f>
        <v>0</v>
      </c>
      <c r="BE96" s="32">
        <f>VLOOKUP($AV96,Dummy!$A:$R,10,FALSE)</f>
        <v>0</v>
      </c>
      <c r="BF96" s="32">
        <f>VLOOKUP($AV96,Dummy!$A:$R,11,FALSE)</f>
        <v>0</v>
      </c>
      <c r="BG96" s="32">
        <f>VLOOKUP($AV96,Dummy!$A:$R,12,FALSE)</f>
        <v>0</v>
      </c>
      <c r="BH96" s="32">
        <f>VLOOKUP($AV96,Dummy!$A:$R,13,FALSE)</f>
        <v>0</v>
      </c>
      <c r="BI96" s="32">
        <f>VLOOKUP($AV96,Dummy!$A:$R,14,FALSE)</f>
        <v>0</v>
      </c>
      <c r="BJ96" s="33" t="str">
        <f>VLOOKUP($AV96,Dummy!$A:$R,15,FALSE)</f>
        <v>MAX</v>
      </c>
      <c r="BK96" s="32">
        <f>VLOOKUP($AV96,Dummy!$A:$R,16,FALSE)</f>
        <v>0</v>
      </c>
      <c r="BL96" s="32">
        <f>VLOOKUP($AV96,Dummy!$A:$R,17,FALSE)</f>
        <v>0</v>
      </c>
      <c r="BM96" s="33" t="str">
        <f>VLOOKUP($AV96,Dummy!$A:$R,18,FALSE)</f>
        <v>MAX</v>
      </c>
    </row>
    <row r="97" spans="2:65" x14ac:dyDescent="0.25">
      <c r="B97" s="17">
        <v>45848</v>
      </c>
      <c r="C97" s="21">
        <v>0.85416666666666663</v>
      </c>
      <c r="D97" s="29" t="s">
        <v>49</v>
      </c>
      <c r="E97" s="37"/>
      <c r="F97" s="11" t="s">
        <v>7</v>
      </c>
      <c r="G97" s="38"/>
      <c r="H97" s="25" t="s">
        <v>76</v>
      </c>
      <c r="I97" s="37"/>
      <c r="J97" s="11" t="s">
        <v>7</v>
      </c>
      <c r="K97" s="38"/>
      <c r="L97" s="37"/>
      <c r="M97" s="11" t="s">
        <v>7</v>
      </c>
      <c r="N97" s="38"/>
      <c r="O97" s="37"/>
      <c r="P97" s="11" t="s">
        <v>7</v>
      </c>
      <c r="Q97" s="38"/>
      <c r="R97" s="37"/>
      <c r="S97" s="11" t="s">
        <v>7</v>
      </c>
      <c r="T97" s="38"/>
      <c r="U97" s="37"/>
      <c r="V97" s="11" t="s">
        <v>7</v>
      </c>
      <c r="W97" s="38"/>
      <c r="X97" s="12">
        <f t="shared" si="126"/>
        <v>0</v>
      </c>
      <c r="Y97" s="13" t="s">
        <v>7</v>
      </c>
      <c r="Z97" s="14">
        <f t="shared" si="127"/>
        <v>0</v>
      </c>
      <c r="AB97" s="4">
        <f t="shared" si="128"/>
        <v>0</v>
      </c>
      <c r="AC97" s="4">
        <f t="shared" si="129"/>
        <v>0</v>
      </c>
      <c r="AD97" s="4">
        <f t="shared" si="130"/>
        <v>0</v>
      </c>
      <c r="AE97" s="4">
        <f t="shared" si="131"/>
        <v>0</v>
      </c>
      <c r="AF97" s="4">
        <f t="shared" si="132"/>
        <v>0</v>
      </c>
      <c r="AG97" s="4">
        <f t="shared" si="133"/>
        <v>0</v>
      </c>
      <c r="AH97" s="4">
        <f t="shared" si="134"/>
        <v>0</v>
      </c>
      <c r="AI97" s="4">
        <f t="shared" si="135"/>
        <v>0</v>
      </c>
      <c r="AJ97" s="4">
        <f t="shared" si="136"/>
        <v>0</v>
      </c>
      <c r="AK97" s="4">
        <f t="shared" si="137"/>
        <v>0</v>
      </c>
      <c r="AM97" s="4">
        <f t="shared" si="138"/>
        <v>0</v>
      </c>
      <c r="AN97" s="4">
        <f t="shared" si="139"/>
        <v>0</v>
      </c>
      <c r="AO97" s="4">
        <f t="shared" si="140"/>
        <v>0</v>
      </c>
      <c r="AP97" s="4">
        <f t="shared" si="141"/>
        <v>0</v>
      </c>
      <c r="AQ97" s="4">
        <f t="shared" si="142"/>
        <v>0</v>
      </c>
      <c r="AR97" s="4">
        <f t="shared" si="143"/>
        <v>0</v>
      </c>
      <c r="AS97" s="4">
        <f t="shared" si="144"/>
        <v>0</v>
      </c>
      <c r="AT97" s="4">
        <f t="shared" si="145"/>
        <v>0</v>
      </c>
      <c r="AU97" s="4">
        <f t="shared" si="146"/>
        <v>0</v>
      </c>
      <c r="AV97" s="35">
        <v>6</v>
      </c>
      <c r="AW97" s="34" t="str">
        <f>VLOOKUP($AV97,Dummy!$A:$R,2,FALSE)</f>
        <v>República Tcheca</v>
      </c>
      <c r="AX97" s="32">
        <f>VLOOKUP($AV97,Dummy!$A:$R,3,FALSE)</f>
        <v>0</v>
      </c>
      <c r="AY97" s="32">
        <f>VLOOKUP($AV97,Dummy!$A:$R,4,FALSE)</f>
        <v>0</v>
      </c>
      <c r="AZ97" s="32">
        <f>VLOOKUP($AV97,Dummy!$A:$R,5,FALSE)</f>
        <v>0</v>
      </c>
      <c r="BA97" s="32">
        <f>VLOOKUP($AV97,Dummy!$A:$R,6,FALSE)</f>
        <v>0</v>
      </c>
      <c r="BB97" s="32">
        <f>VLOOKUP($AV97,Dummy!$A:$R,7,FALSE)</f>
        <v>0</v>
      </c>
      <c r="BC97" s="32">
        <f>VLOOKUP($AV97,Dummy!$A:$R,8,FALSE)</f>
        <v>0</v>
      </c>
      <c r="BD97" s="32">
        <f>VLOOKUP($AV97,Dummy!$A:$R,9,FALSE)</f>
        <v>0</v>
      </c>
      <c r="BE97" s="32">
        <f>VLOOKUP($AV97,Dummy!$A:$R,10,FALSE)</f>
        <v>0</v>
      </c>
      <c r="BF97" s="32">
        <f>VLOOKUP($AV97,Dummy!$A:$R,11,FALSE)</f>
        <v>0</v>
      </c>
      <c r="BG97" s="32">
        <f>VLOOKUP($AV97,Dummy!$A:$R,12,FALSE)</f>
        <v>0</v>
      </c>
      <c r="BH97" s="32">
        <f>VLOOKUP($AV97,Dummy!$A:$R,13,FALSE)</f>
        <v>0</v>
      </c>
      <c r="BI97" s="32">
        <f>VLOOKUP($AV97,Dummy!$A:$R,14,FALSE)</f>
        <v>0</v>
      </c>
      <c r="BJ97" s="33" t="str">
        <f>VLOOKUP($AV97,Dummy!$A:$R,15,FALSE)</f>
        <v>MAX</v>
      </c>
      <c r="BK97" s="32">
        <f>VLOOKUP($AV97,Dummy!$A:$R,16,FALSE)</f>
        <v>0</v>
      </c>
      <c r="BL97" s="32">
        <f>VLOOKUP($AV97,Dummy!$A:$R,17,FALSE)</f>
        <v>0</v>
      </c>
      <c r="BM97" s="33" t="str">
        <f>VLOOKUP($AV97,Dummy!$A:$R,18,FALSE)</f>
        <v>MAX</v>
      </c>
    </row>
    <row r="98" spans="2:65" x14ac:dyDescent="0.25">
      <c r="B98" s="17">
        <v>45849</v>
      </c>
      <c r="C98" s="21">
        <v>0.70833333333333337</v>
      </c>
      <c r="D98" s="29" t="s">
        <v>49</v>
      </c>
      <c r="E98" s="37"/>
      <c r="F98" s="11" t="s">
        <v>7</v>
      </c>
      <c r="G98" s="38"/>
      <c r="H98" s="25" t="s">
        <v>58</v>
      </c>
      <c r="I98" s="37"/>
      <c r="J98" s="11" t="s">
        <v>7</v>
      </c>
      <c r="K98" s="38"/>
      <c r="L98" s="37"/>
      <c r="M98" s="11" t="s">
        <v>7</v>
      </c>
      <c r="N98" s="38"/>
      <c r="O98" s="37"/>
      <c r="P98" s="11" t="s">
        <v>7</v>
      </c>
      <c r="Q98" s="38"/>
      <c r="R98" s="37"/>
      <c r="S98" s="11" t="s">
        <v>7</v>
      </c>
      <c r="T98" s="38"/>
      <c r="U98" s="37"/>
      <c r="V98" s="11" t="s">
        <v>7</v>
      </c>
      <c r="W98" s="38"/>
      <c r="X98" s="12">
        <f t="shared" si="126"/>
        <v>0</v>
      </c>
      <c r="Y98" s="13" t="s">
        <v>7</v>
      </c>
      <c r="Z98" s="14">
        <f t="shared" si="127"/>
        <v>0</v>
      </c>
      <c r="AB98" s="4">
        <f t="shared" si="128"/>
        <v>0</v>
      </c>
      <c r="AC98" s="4">
        <f t="shared" si="129"/>
        <v>0</v>
      </c>
      <c r="AD98" s="4">
        <f t="shared" si="130"/>
        <v>0</v>
      </c>
      <c r="AE98" s="4">
        <f t="shared" si="131"/>
        <v>0</v>
      </c>
      <c r="AF98" s="4">
        <f t="shared" si="132"/>
        <v>0</v>
      </c>
      <c r="AG98" s="4">
        <f t="shared" si="133"/>
        <v>0</v>
      </c>
      <c r="AH98" s="4">
        <f t="shared" si="134"/>
        <v>0</v>
      </c>
      <c r="AI98" s="4">
        <f t="shared" si="135"/>
        <v>0</v>
      </c>
      <c r="AJ98" s="4">
        <f t="shared" si="136"/>
        <v>0</v>
      </c>
      <c r="AK98" s="4">
        <f t="shared" si="137"/>
        <v>0</v>
      </c>
      <c r="AM98" s="4">
        <f t="shared" si="138"/>
        <v>0</v>
      </c>
      <c r="AN98" s="4">
        <f t="shared" si="139"/>
        <v>0</v>
      </c>
      <c r="AO98" s="4">
        <f t="shared" si="140"/>
        <v>0</v>
      </c>
      <c r="AP98" s="4">
        <f t="shared" si="141"/>
        <v>0</v>
      </c>
      <c r="AQ98" s="4">
        <f t="shared" si="142"/>
        <v>0</v>
      </c>
      <c r="AR98" s="4">
        <f t="shared" si="143"/>
        <v>0</v>
      </c>
      <c r="AS98" s="4">
        <f t="shared" si="144"/>
        <v>0</v>
      </c>
      <c r="AT98" s="4">
        <f t="shared" si="145"/>
        <v>0</v>
      </c>
      <c r="AU98" s="4">
        <f t="shared" si="146"/>
        <v>0</v>
      </c>
      <c r="AV98" s="35">
        <v>7</v>
      </c>
      <c r="AW98" s="34" t="str">
        <f>VLOOKUP($AV98,Dummy!$A:$R,2,FALSE)</f>
        <v>China</v>
      </c>
      <c r="AX98" s="32">
        <f>VLOOKUP($AV98,Dummy!$A:$R,3,FALSE)</f>
        <v>0</v>
      </c>
      <c r="AY98" s="32">
        <f>VLOOKUP($AV98,Dummy!$A:$R,4,FALSE)</f>
        <v>0</v>
      </c>
      <c r="AZ98" s="32">
        <f>VLOOKUP($AV98,Dummy!$A:$R,5,FALSE)</f>
        <v>0</v>
      </c>
      <c r="BA98" s="32">
        <f>VLOOKUP($AV98,Dummy!$A:$R,6,FALSE)</f>
        <v>0</v>
      </c>
      <c r="BB98" s="32">
        <f>VLOOKUP($AV98,Dummy!$A:$R,7,FALSE)</f>
        <v>0</v>
      </c>
      <c r="BC98" s="32">
        <f>VLOOKUP($AV98,Dummy!$A:$R,8,FALSE)</f>
        <v>0</v>
      </c>
      <c r="BD98" s="32">
        <f>VLOOKUP($AV98,Dummy!$A:$R,9,FALSE)</f>
        <v>0</v>
      </c>
      <c r="BE98" s="32">
        <f>VLOOKUP($AV98,Dummy!$A:$R,10,FALSE)</f>
        <v>0</v>
      </c>
      <c r="BF98" s="32">
        <f>VLOOKUP($AV98,Dummy!$A:$R,11,FALSE)</f>
        <v>0</v>
      </c>
      <c r="BG98" s="32">
        <f>VLOOKUP($AV98,Dummy!$A:$R,12,FALSE)</f>
        <v>0</v>
      </c>
      <c r="BH98" s="32">
        <f>VLOOKUP($AV98,Dummy!$A:$R,13,FALSE)</f>
        <v>0</v>
      </c>
      <c r="BI98" s="32">
        <f>VLOOKUP($AV98,Dummy!$A:$R,14,FALSE)</f>
        <v>0</v>
      </c>
      <c r="BJ98" s="33" t="str">
        <f>VLOOKUP($AV98,Dummy!$A:$R,15,FALSE)</f>
        <v>MAX</v>
      </c>
      <c r="BK98" s="32">
        <f>VLOOKUP($AV98,Dummy!$A:$R,16,FALSE)</f>
        <v>0</v>
      </c>
      <c r="BL98" s="32">
        <f>VLOOKUP($AV98,Dummy!$A:$R,17,FALSE)</f>
        <v>0</v>
      </c>
      <c r="BM98" s="33" t="str">
        <f>VLOOKUP($AV98,Dummy!$A:$R,18,FALSE)</f>
        <v>MAX</v>
      </c>
    </row>
    <row r="99" spans="2:65" x14ac:dyDescent="0.25">
      <c r="B99" s="17">
        <v>45849</v>
      </c>
      <c r="C99" s="21">
        <v>0.85416666666666663</v>
      </c>
      <c r="D99" s="29" t="s">
        <v>60</v>
      </c>
      <c r="E99" s="37"/>
      <c r="F99" s="11" t="s">
        <v>7</v>
      </c>
      <c r="G99" s="38"/>
      <c r="H99" s="25" t="s">
        <v>31</v>
      </c>
      <c r="I99" s="37"/>
      <c r="J99" s="11" t="s">
        <v>7</v>
      </c>
      <c r="K99" s="38"/>
      <c r="L99" s="37"/>
      <c r="M99" s="11" t="s">
        <v>7</v>
      </c>
      <c r="N99" s="38"/>
      <c r="O99" s="37"/>
      <c r="P99" s="11" t="s">
        <v>7</v>
      </c>
      <c r="Q99" s="38"/>
      <c r="R99" s="37"/>
      <c r="S99" s="11" t="s">
        <v>7</v>
      </c>
      <c r="T99" s="38"/>
      <c r="U99" s="37"/>
      <c r="V99" s="11" t="s">
        <v>7</v>
      </c>
      <c r="W99" s="38"/>
      <c r="X99" s="12">
        <f t="shared" si="126"/>
        <v>0</v>
      </c>
      <c r="Y99" s="13" t="s">
        <v>7</v>
      </c>
      <c r="Z99" s="14">
        <f t="shared" si="127"/>
        <v>0</v>
      </c>
      <c r="AB99" s="4">
        <f t="shared" si="128"/>
        <v>0</v>
      </c>
      <c r="AC99" s="4">
        <f t="shared" si="129"/>
        <v>0</v>
      </c>
      <c r="AD99" s="4">
        <f t="shared" si="130"/>
        <v>0</v>
      </c>
      <c r="AE99" s="4">
        <f t="shared" si="131"/>
        <v>0</v>
      </c>
      <c r="AF99" s="4">
        <f t="shared" si="132"/>
        <v>0</v>
      </c>
      <c r="AG99" s="4">
        <f t="shared" si="133"/>
        <v>0</v>
      </c>
      <c r="AH99" s="4">
        <f t="shared" si="134"/>
        <v>0</v>
      </c>
      <c r="AI99" s="4">
        <f t="shared" si="135"/>
        <v>0</v>
      </c>
      <c r="AJ99" s="4">
        <f t="shared" si="136"/>
        <v>0</v>
      </c>
      <c r="AK99" s="4">
        <f t="shared" si="137"/>
        <v>0</v>
      </c>
      <c r="AM99" s="4">
        <f t="shared" si="138"/>
        <v>0</v>
      </c>
      <c r="AN99" s="4">
        <f t="shared" si="139"/>
        <v>0</v>
      </c>
      <c r="AO99" s="4">
        <f t="shared" si="140"/>
        <v>0</v>
      </c>
      <c r="AP99" s="4">
        <f t="shared" si="141"/>
        <v>0</v>
      </c>
      <c r="AQ99" s="4">
        <f t="shared" si="142"/>
        <v>0</v>
      </c>
      <c r="AR99" s="4">
        <f t="shared" si="143"/>
        <v>0</v>
      </c>
      <c r="AS99" s="4">
        <f t="shared" si="144"/>
        <v>0</v>
      </c>
      <c r="AT99" s="4">
        <f t="shared" si="145"/>
        <v>0</v>
      </c>
      <c r="AU99" s="4">
        <f t="shared" si="146"/>
        <v>0</v>
      </c>
      <c r="AV99" s="35">
        <v>8</v>
      </c>
      <c r="AW99" s="34" t="str">
        <f>VLOOKUP($AV99,Dummy!$A:$R,2,FALSE)</f>
        <v>Coreia do Sul</v>
      </c>
      <c r="AX99" s="32">
        <f>VLOOKUP($AV99,Dummy!$A:$R,3,FALSE)</f>
        <v>0</v>
      </c>
      <c r="AY99" s="32">
        <f>VLOOKUP($AV99,Dummy!$A:$R,4,FALSE)</f>
        <v>0</v>
      </c>
      <c r="AZ99" s="32">
        <f>VLOOKUP($AV99,Dummy!$A:$R,5,FALSE)</f>
        <v>0</v>
      </c>
      <c r="BA99" s="32">
        <f>VLOOKUP($AV99,Dummy!$A:$R,6,FALSE)</f>
        <v>0</v>
      </c>
      <c r="BB99" s="32">
        <f>VLOOKUP($AV99,Dummy!$A:$R,7,FALSE)</f>
        <v>0</v>
      </c>
      <c r="BC99" s="32">
        <f>VLOOKUP($AV99,Dummy!$A:$R,8,FALSE)</f>
        <v>0</v>
      </c>
      <c r="BD99" s="32">
        <f>VLOOKUP($AV99,Dummy!$A:$R,9,FALSE)</f>
        <v>0</v>
      </c>
      <c r="BE99" s="32">
        <f>VLOOKUP($AV99,Dummy!$A:$R,10,FALSE)</f>
        <v>0</v>
      </c>
      <c r="BF99" s="32">
        <f>VLOOKUP($AV99,Dummy!$A:$R,11,FALSE)</f>
        <v>0</v>
      </c>
      <c r="BG99" s="32">
        <f>VLOOKUP($AV99,Dummy!$A:$R,12,FALSE)</f>
        <v>0</v>
      </c>
      <c r="BH99" s="32">
        <f>VLOOKUP($AV99,Dummy!$A:$R,13,FALSE)</f>
        <v>0</v>
      </c>
      <c r="BI99" s="32">
        <f>VLOOKUP($AV99,Dummy!$A:$R,14,FALSE)</f>
        <v>0</v>
      </c>
      <c r="BJ99" s="33" t="str">
        <f>VLOOKUP($AV99,Dummy!$A:$R,15,FALSE)</f>
        <v>MAX</v>
      </c>
      <c r="BK99" s="32">
        <f>VLOOKUP($AV99,Dummy!$A:$R,16,FALSE)</f>
        <v>0</v>
      </c>
      <c r="BL99" s="32">
        <f>VLOOKUP($AV99,Dummy!$A:$R,17,FALSE)</f>
        <v>0</v>
      </c>
      <c r="BM99" s="33" t="str">
        <f>VLOOKUP($AV99,Dummy!$A:$R,18,FALSE)</f>
        <v>MAX</v>
      </c>
    </row>
    <row r="100" spans="2:65" x14ac:dyDescent="0.25">
      <c r="B100" s="17">
        <v>45850</v>
      </c>
      <c r="C100" s="21">
        <v>0.625</v>
      </c>
      <c r="D100" s="29" t="s">
        <v>60</v>
      </c>
      <c r="E100" s="37"/>
      <c r="F100" s="11" t="s">
        <v>7</v>
      </c>
      <c r="G100" s="38"/>
      <c r="H100" s="25" t="s">
        <v>76</v>
      </c>
      <c r="I100" s="37"/>
      <c r="J100" s="11" t="s">
        <v>7</v>
      </c>
      <c r="K100" s="38"/>
      <c r="L100" s="37"/>
      <c r="M100" s="11" t="s">
        <v>7</v>
      </c>
      <c r="N100" s="38"/>
      <c r="O100" s="37"/>
      <c r="P100" s="11" t="s">
        <v>7</v>
      </c>
      <c r="Q100" s="38"/>
      <c r="R100" s="37"/>
      <c r="S100" s="11" t="s">
        <v>7</v>
      </c>
      <c r="T100" s="38"/>
      <c r="U100" s="37"/>
      <c r="V100" s="11" t="s">
        <v>7</v>
      </c>
      <c r="W100" s="38"/>
      <c r="X100" s="12">
        <f t="shared" si="126"/>
        <v>0</v>
      </c>
      <c r="Y100" s="13" t="s">
        <v>7</v>
      </c>
      <c r="Z100" s="14">
        <f t="shared" si="127"/>
        <v>0</v>
      </c>
      <c r="AB100" s="4">
        <f t="shared" si="128"/>
        <v>0</v>
      </c>
      <c r="AC100" s="4">
        <f t="shared" si="129"/>
        <v>0</v>
      </c>
      <c r="AD100" s="4">
        <f t="shared" si="130"/>
        <v>0</v>
      </c>
      <c r="AE100" s="4">
        <f t="shared" si="131"/>
        <v>0</v>
      </c>
      <c r="AF100" s="4">
        <f t="shared" si="132"/>
        <v>0</v>
      </c>
      <c r="AG100" s="4">
        <f t="shared" si="133"/>
        <v>0</v>
      </c>
      <c r="AH100" s="4">
        <f t="shared" si="134"/>
        <v>0</v>
      </c>
      <c r="AI100" s="4">
        <f t="shared" si="135"/>
        <v>0</v>
      </c>
      <c r="AJ100" s="4">
        <f t="shared" si="136"/>
        <v>0</v>
      </c>
      <c r="AK100" s="4">
        <f t="shared" si="137"/>
        <v>0</v>
      </c>
      <c r="AM100" s="4">
        <f t="shared" si="138"/>
        <v>0</v>
      </c>
      <c r="AN100" s="4">
        <f t="shared" si="139"/>
        <v>0</v>
      </c>
      <c r="AO100" s="4">
        <f t="shared" si="140"/>
        <v>0</v>
      </c>
      <c r="AP100" s="4">
        <f t="shared" si="141"/>
        <v>0</v>
      </c>
      <c r="AQ100" s="4">
        <f t="shared" si="142"/>
        <v>0</v>
      </c>
      <c r="AR100" s="4">
        <f t="shared" si="143"/>
        <v>0</v>
      </c>
      <c r="AS100" s="4">
        <f t="shared" si="144"/>
        <v>0</v>
      </c>
      <c r="AT100" s="4">
        <f t="shared" si="145"/>
        <v>0</v>
      </c>
      <c r="AU100" s="4">
        <f t="shared" si="146"/>
        <v>0</v>
      </c>
      <c r="AV100" s="35">
        <v>9</v>
      </c>
      <c r="AW100" s="34" t="str">
        <f>VLOOKUP($AV100,Dummy!$A:$R,2,FALSE)</f>
        <v>Estados Unidos</v>
      </c>
      <c r="AX100" s="32">
        <f>VLOOKUP($AV100,Dummy!$A:$R,3,FALSE)</f>
        <v>0</v>
      </c>
      <c r="AY100" s="32">
        <f>VLOOKUP($AV100,Dummy!$A:$R,4,FALSE)</f>
        <v>0</v>
      </c>
      <c r="AZ100" s="32">
        <f>VLOOKUP($AV100,Dummy!$A:$R,5,FALSE)</f>
        <v>0</v>
      </c>
      <c r="BA100" s="32">
        <f>VLOOKUP($AV100,Dummy!$A:$R,6,FALSE)</f>
        <v>0</v>
      </c>
      <c r="BB100" s="32">
        <f>VLOOKUP($AV100,Dummy!$A:$R,7,FALSE)</f>
        <v>0</v>
      </c>
      <c r="BC100" s="32">
        <f>VLOOKUP($AV100,Dummy!$A:$R,8,FALSE)</f>
        <v>0</v>
      </c>
      <c r="BD100" s="32">
        <f>VLOOKUP($AV100,Dummy!$A:$R,9,FALSE)</f>
        <v>0</v>
      </c>
      <c r="BE100" s="32">
        <f>VLOOKUP($AV100,Dummy!$A:$R,10,FALSE)</f>
        <v>0</v>
      </c>
      <c r="BF100" s="32">
        <f>VLOOKUP($AV100,Dummy!$A:$R,11,FALSE)</f>
        <v>0</v>
      </c>
      <c r="BG100" s="32">
        <f>VLOOKUP($AV100,Dummy!$A:$R,12,FALSE)</f>
        <v>0</v>
      </c>
      <c r="BH100" s="32">
        <f>VLOOKUP($AV100,Dummy!$A:$R,13,FALSE)</f>
        <v>0</v>
      </c>
      <c r="BI100" s="32">
        <f>VLOOKUP($AV100,Dummy!$A:$R,14,FALSE)</f>
        <v>0</v>
      </c>
      <c r="BJ100" s="33" t="str">
        <f>VLOOKUP($AV100,Dummy!$A:$R,15,FALSE)</f>
        <v>MAX</v>
      </c>
      <c r="BK100" s="32">
        <f>VLOOKUP($AV100,Dummy!$A:$R,16,FALSE)</f>
        <v>0</v>
      </c>
      <c r="BL100" s="32">
        <f>VLOOKUP($AV100,Dummy!$A:$R,17,FALSE)</f>
        <v>0</v>
      </c>
      <c r="BM100" s="33" t="str">
        <f>VLOOKUP($AV100,Dummy!$A:$R,18,FALSE)</f>
        <v>MAX</v>
      </c>
    </row>
    <row r="101" spans="2:65" x14ac:dyDescent="0.25">
      <c r="B101" s="17">
        <v>45850</v>
      </c>
      <c r="C101" s="21">
        <v>0.79166666666666663</v>
      </c>
      <c r="D101" s="29" t="s">
        <v>31</v>
      </c>
      <c r="E101" s="37"/>
      <c r="F101" s="11" t="s">
        <v>7</v>
      </c>
      <c r="G101" s="38"/>
      <c r="H101" s="25" t="s">
        <v>40</v>
      </c>
      <c r="I101" s="37"/>
      <c r="J101" s="11" t="s">
        <v>7</v>
      </c>
      <c r="K101" s="38"/>
      <c r="L101" s="37"/>
      <c r="M101" s="11" t="s">
        <v>7</v>
      </c>
      <c r="N101" s="38"/>
      <c r="O101" s="37"/>
      <c r="P101" s="11" t="s">
        <v>7</v>
      </c>
      <c r="Q101" s="38"/>
      <c r="R101" s="37"/>
      <c r="S101" s="11" t="s">
        <v>7</v>
      </c>
      <c r="T101" s="38"/>
      <c r="U101" s="37"/>
      <c r="V101" s="11" t="s">
        <v>7</v>
      </c>
      <c r="W101" s="38"/>
      <c r="X101" s="12">
        <f t="shared" si="126"/>
        <v>0</v>
      </c>
      <c r="Y101" s="13" t="s">
        <v>7</v>
      </c>
      <c r="Z101" s="14">
        <f t="shared" si="127"/>
        <v>0</v>
      </c>
      <c r="AB101" s="4">
        <f t="shared" si="128"/>
        <v>0</v>
      </c>
      <c r="AC101" s="4">
        <f t="shared" si="129"/>
        <v>0</v>
      </c>
      <c r="AD101" s="4">
        <f t="shared" si="130"/>
        <v>0</v>
      </c>
      <c r="AE101" s="4">
        <f t="shared" si="131"/>
        <v>0</v>
      </c>
      <c r="AF101" s="4">
        <f t="shared" si="132"/>
        <v>0</v>
      </c>
      <c r="AG101" s="4">
        <f t="shared" si="133"/>
        <v>0</v>
      </c>
      <c r="AH101" s="4">
        <f t="shared" si="134"/>
        <v>0</v>
      </c>
      <c r="AI101" s="4">
        <f t="shared" si="135"/>
        <v>0</v>
      </c>
      <c r="AJ101" s="4">
        <f t="shared" si="136"/>
        <v>0</v>
      </c>
      <c r="AK101" s="4">
        <f t="shared" si="137"/>
        <v>0</v>
      </c>
      <c r="AM101" s="4">
        <f t="shared" si="138"/>
        <v>0</v>
      </c>
      <c r="AN101" s="4">
        <f t="shared" si="139"/>
        <v>0</v>
      </c>
      <c r="AO101" s="4">
        <f t="shared" si="140"/>
        <v>0</v>
      </c>
      <c r="AP101" s="4">
        <f t="shared" si="141"/>
        <v>0</v>
      </c>
      <c r="AQ101" s="4">
        <f t="shared" si="142"/>
        <v>0</v>
      </c>
      <c r="AR101" s="4">
        <f t="shared" si="143"/>
        <v>0</v>
      </c>
      <c r="AS101" s="4">
        <f t="shared" si="144"/>
        <v>0</v>
      </c>
      <c r="AT101" s="4">
        <f t="shared" si="145"/>
        <v>0</v>
      </c>
      <c r="AU101" s="4">
        <f t="shared" si="146"/>
        <v>0</v>
      </c>
      <c r="AV101" s="35">
        <v>10</v>
      </c>
      <c r="AW101" s="34" t="str">
        <f>VLOOKUP($AV101,Dummy!$A:$R,2,FALSE)</f>
        <v>França</v>
      </c>
      <c r="AX101" s="32">
        <f>VLOOKUP($AV101,Dummy!$A:$R,3,FALSE)</f>
        <v>0</v>
      </c>
      <c r="AY101" s="32">
        <f>VLOOKUP($AV101,Dummy!$A:$R,4,FALSE)</f>
        <v>0</v>
      </c>
      <c r="AZ101" s="32">
        <f>VLOOKUP($AV101,Dummy!$A:$R,5,FALSE)</f>
        <v>0</v>
      </c>
      <c r="BA101" s="32">
        <f>VLOOKUP($AV101,Dummy!$A:$R,6,FALSE)</f>
        <v>0</v>
      </c>
      <c r="BB101" s="32">
        <f>VLOOKUP($AV101,Dummy!$A:$R,7,FALSE)</f>
        <v>0</v>
      </c>
      <c r="BC101" s="32">
        <f>VLOOKUP($AV101,Dummy!$A:$R,8,FALSE)</f>
        <v>0</v>
      </c>
      <c r="BD101" s="32">
        <f>VLOOKUP($AV101,Dummy!$A:$R,9,FALSE)</f>
        <v>0</v>
      </c>
      <c r="BE101" s="32">
        <f>VLOOKUP($AV101,Dummy!$A:$R,10,FALSE)</f>
        <v>0</v>
      </c>
      <c r="BF101" s="32">
        <f>VLOOKUP($AV101,Dummy!$A:$R,11,FALSE)</f>
        <v>0</v>
      </c>
      <c r="BG101" s="32">
        <f>VLOOKUP($AV101,Dummy!$A:$R,12,FALSE)</f>
        <v>0</v>
      </c>
      <c r="BH101" s="32">
        <f>VLOOKUP($AV101,Dummy!$A:$R,13,FALSE)</f>
        <v>0</v>
      </c>
      <c r="BI101" s="32">
        <f>VLOOKUP($AV101,Dummy!$A:$R,14,FALSE)</f>
        <v>0</v>
      </c>
      <c r="BJ101" s="33" t="str">
        <f>VLOOKUP($AV101,Dummy!$A:$R,15,FALSE)</f>
        <v>MAX</v>
      </c>
      <c r="BK101" s="32">
        <f>VLOOKUP($AV101,Dummy!$A:$R,16,FALSE)</f>
        <v>0</v>
      </c>
      <c r="BL101" s="32">
        <f>VLOOKUP($AV101,Dummy!$A:$R,17,FALSE)</f>
        <v>0</v>
      </c>
      <c r="BM101" s="33" t="str">
        <f>VLOOKUP($AV101,Dummy!$A:$R,18,FALSE)</f>
        <v>MAX</v>
      </c>
    </row>
    <row r="102" spans="2:65" x14ac:dyDescent="0.25">
      <c r="B102" s="17">
        <v>45851</v>
      </c>
      <c r="C102" s="21">
        <v>0.52083333333333337</v>
      </c>
      <c r="D102" s="29" t="s">
        <v>60</v>
      </c>
      <c r="E102" s="37"/>
      <c r="F102" s="11" t="s">
        <v>7</v>
      </c>
      <c r="G102" s="38"/>
      <c r="H102" s="25" t="s">
        <v>49</v>
      </c>
      <c r="I102" s="37"/>
      <c r="J102" s="11" t="s">
        <v>7</v>
      </c>
      <c r="K102" s="38"/>
      <c r="L102" s="37"/>
      <c r="M102" s="11" t="s">
        <v>7</v>
      </c>
      <c r="N102" s="38"/>
      <c r="O102" s="37"/>
      <c r="P102" s="11" t="s">
        <v>7</v>
      </c>
      <c r="Q102" s="38"/>
      <c r="R102" s="37"/>
      <c r="S102" s="11" t="s">
        <v>7</v>
      </c>
      <c r="T102" s="38"/>
      <c r="U102" s="37"/>
      <c r="V102" s="11" t="s">
        <v>7</v>
      </c>
      <c r="W102" s="38"/>
      <c r="X102" s="12">
        <f t="shared" si="126"/>
        <v>0</v>
      </c>
      <c r="Y102" s="13" t="s">
        <v>7</v>
      </c>
      <c r="Z102" s="14">
        <f t="shared" si="127"/>
        <v>0</v>
      </c>
      <c r="AB102" s="4">
        <f t="shared" si="128"/>
        <v>0</v>
      </c>
      <c r="AC102" s="4">
        <f t="shared" si="129"/>
        <v>0</v>
      </c>
      <c r="AD102" s="4">
        <f t="shared" si="130"/>
        <v>0</v>
      </c>
      <c r="AE102" s="4">
        <f t="shared" si="131"/>
        <v>0</v>
      </c>
      <c r="AF102" s="4">
        <f t="shared" si="132"/>
        <v>0</v>
      </c>
      <c r="AG102" s="4">
        <f t="shared" si="133"/>
        <v>0</v>
      </c>
      <c r="AH102" s="4">
        <f t="shared" si="134"/>
        <v>0</v>
      </c>
      <c r="AI102" s="4">
        <f t="shared" si="135"/>
        <v>0</v>
      </c>
      <c r="AJ102" s="4">
        <f t="shared" si="136"/>
        <v>0</v>
      </c>
      <c r="AK102" s="4">
        <f t="shared" si="137"/>
        <v>0</v>
      </c>
      <c r="AM102" s="4">
        <f t="shared" si="138"/>
        <v>0</v>
      </c>
      <c r="AN102" s="4">
        <f t="shared" si="139"/>
        <v>0</v>
      </c>
      <c r="AO102" s="4">
        <f t="shared" si="140"/>
        <v>0</v>
      </c>
      <c r="AP102" s="4">
        <f t="shared" si="141"/>
        <v>0</v>
      </c>
      <c r="AQ102" s="4">
        <f t="shared" si="142"/>
        <v>0</v>
      </c>
      <c r="AR102" s="4">
        <f t="shared" si="143"/>
        <v>0</v>
      </c>
      <c r="AS102" s="4">
        <f t="shared" si="144"/>
        <v>0</v>
      </c>
      <c r="AT102" s="4">
        <f t="shared" si="145"/>
        <v>0</v>
      </c>
      <c r="AU102" s="4">
        <f t="shared" si="146"/>
        <v>0</v>
      </c>
      <c r="AV102" s="35">
        <v>11</v>
      </c>
      <c r="AW102" s="34" t="str">
        <f>VLOOKUP($AV102,Dummy!$A:$R,2,FALSE)</f>
        <v>Itália</v>
      </c>
      <c r="AX102" s="32">
        <f>VLOOKUP($AV102,Dummy!$A:$R,3,FALSE)</f>
        <v>0</v>
      </c>
      <c r="AY102" s="32">
        <f>VLOOKUP($AV102,Dummy!$A:$R,4,FALSE)</f>
        <v>0</v>
      </c>
      <c r="AZ102" s="32">
        <f>VLOOKUP($AV102,Dummy!$A:$R,5,FALSE)</f>
        <v>0</v>
      </c>
      <c r="BA102" s="32">
        <f>VLOOKUP($AV102,Dummy!$A:$R,6,FALSE)</f>
        <v>0</v>
      </c>
      <c r="BB102" s="32">
        <f>VLOOKUP($AV102,Dummy!$A:$R,7,FALSE)</f>
        <v>0</v>
      </c>
      <c r="BC102" s="32">
        <f>VLOOKUP($AV102,Dummy!$A:$R,8,FALSE)</f>
        <v>0</v>
      </c>
      <c r="BD102" s="32">
        <f>VLOOKUP($AV102,Dummy!$A:$R,9,FALSE)</f>
        <v>0</v>
      </c>
      <c r="BE102" s="32">
        <f>VLOOKUP($AV102,Dummy!$A:$R,10,FALSE)</f>
        <v>0</v>
      </c>
      <c r="BF102" s="32">
        <f>VLOOKUP($AV102,Dummy!$A:$R,11,FALSE)</f>
        <v>0</v>
      </c>
      <c r="BG102" s="32">
        <f>VLOOKUP($AV102,Dummy!$A:$R,12,FALSE)</f>
        <v>0</v>
      </c>
      <c r="BH102" s="32">
        <f>VLOOKUP($AV102,Dummy!$A:$R,13,FALSE)</f>
        <v>0</v>
      </c>
      <c r="BI102" s="32">
        <f>VLOOKUP($AV102,Dummy!$A:$R,14,FALSE)</f>
        <v>0</v>
      </c>
      <c r="BJ102" s="33" t="str">
        <f>VLOOKUP($AV102,Dummy!$A:$R,15,FALSE)</f>
        <v>MAX</v>
      </c>
      <c r="BK102" s="32">
        <f>VLOOKUP($AV102,Dummy!$A:$R,16,FALSE)</f>
        <v>0</v>
      </c>
      <c r="BL102" s="32">
        <f>VLOOKUP($AV102,Dummy!$A:$R,17,FALSE)</f>
        <v>0</v>
      </c>
      <c r="BM102" s="33" t="str">
        <f>VLOOKUP($AV102,Dummy!$A:$R,18,FALSE)</f>
        <v>MAX</v>
      </c>
    </row>
    <row r="103" spans="2:65" x14ac:dyDescent="0.25">
      <c r="B103" s="17">
        <v>45851</v>
      </c>
      <c r="C103" s="21">
        <v>0.66666666666666663</v>
      </c>
      <c r="D103" s="29" t="s">
        <v>76</v>
      </c>
      <c r="E103" s="37"/>
      <c r="F103" s="11" t="s">
        <v>7</v>
      </c>
      <c r="G103" s="38"/>
      <c r="H103" s="25" t="s">
        <v>40</v>
      </c>
      <c r="I103" s="37"/>
      <c r="J103" s="11" t="s">
        <v>7</v>
      </c>
      <c r="K103" s="38"/>
      <c r="L103" s="37"/>
      <c r="M103" s="11" t="s">
        <v>7</v>
      </c>
      <c r="N103" s="38"/>
      <c r="O103" s="37"/>
      <c r="P103" s="11" t="s">
        <v>7</v>
      </c>
      <c r="Q103" s="38"/>
      <c r="R103" s="37"/>
      <c r="S103" s="11" t="s">
        <v>7</v>
      </c>
      <c r="T103" s="38"/>
      <c r="U103" s="37"/>
      <c r="V103" s="11" t="s">
        <v>7</v>
      </c>
      <c r="W103" s="38"/>
      <c r="X103" s="12">
        <f t="shared" si="126"/>
        <v>0</v>
      </c>
      <c r="Y103" s="13" t="s">
        <v>7</v>
      </c>
      <c r="Z103" s="14">
        <f t="shared" si="127"/>
        <v>0</v>
      </c>
      <c r="AB103" s="4">
        <f t="shared" si="128"/>
        <v>0</v>
      </c>
      <c r="AC103" s="4">
        <f t="shared" si="129"/>
        <v>0</v>
      </c>
      <c r="AD103" s="4">
        <f t="shared" si="130"/>
        <v>0</v>
      </c>
      <c r="AE103" s="4">
        <f t="shared" si="131"/>
        <v>0</v>
      </c>
      <c r="AF103" s="4">
        <f t="shared" si="132"/>
        <v>0</v>
      </c>
      <c r="AG103" s="4">
        <f t="shared" si="133"/>
        <v>0</v>
      </c>
      <c r="AH103" s="4">
        <f t="shared" si="134"/>
        <v>0</v>
      </c>
      <c r="AI103" s="4">
        <f t="shared" si="135"/>
        <v>0</v>
      </c>
      <c r="AJ103" s="4">
        <f t="shared" si="136"/>
        <v>0</v>
      </c>
      <c r="AK103" s="4">
        <f t="shared" si="137"/>
        <v>0</v>
      </c>
      <c r="AM103" s="4">
        <f t="shared" si="138"/>
        <v>0</v>
      </c>
      <c r="AN103" s="4">
        <f t="shared" si="139"/>
        <v>0</v>
      </c>
      <c r="AO103" s="4">
        <f t="shared" si="140"/>
        <v>0</v>
      </c>
      <c r="AP103" s="4">
        <f t="shared" si="141"/>
        <v>0</v>
      </c>
      <c r="AQ103" s="4">
        <f t="shared" si="142"/>
        <v>0</v>
      </c>
      <c r="AR103" s="4">
        <f t="shared" si="143"/>
        <v>0</v>
      </c>
      <c r="AS103" s="4">
        <f t="shared" si="144"/>
        <v>0</v>
      </c>
      <c r="AT103" s="4">
        <f t="shared" si="145"/>
        <v>0</v>
      </c>
      <c r="AU103" s="4">
        <f t="shared" si="146"/>
        <v>0</v>
      </c>
      <c r="AV103" s="35">
        <v>12</v>
      </c>
      <c r="AW103" s="34" t="str">
        <f>VLOOKUP($AV103,Dummy!$A:$R,2,FALSE)</f>
        <v>Japão</v>
      </c>
      <c r="AX103" s="32">
        <f>VLOOKUP($AV103,Dummy!$A:$R,3,FALSE)</f>
        <v>0</v>
      </c>
      <c r="AY103" s="32">
        <f>VLOOKUP($AV103,Dummy!$A:$R,4,FALSE)</f>
        <v>0</v>
      </c>
      <c r="AZ103" s="32">
        <f>VLOOKUP($AV103,Dummy!$A:$R,5,FALSE)</f>
        <v>0</v>
      </c>
      <c r="BA103" s="32">
        <f>VLOOKUP($AV103,Dummy!$A:$R,6,FALSE)</f>
        <v>0</v>
      </c>
      <c r="BB103" s="32">
        <f>VLOOKUP($AV103,Dummy!$A:$R,7,FALSE)</f>
        <v>0</v>
      </c>
      <c r="BC103" s="32">
        <f>VLOOKUP($AV103,Dummy!$A:$R,8,FALSE)</f>
        <v>0</v>
      </c>
      <c r="BD103" s="32">
        <f>VLOOKUP($AV103,Dummy!$A:$R,9,FALSE)</f>
        <v>0</v>
      </c>
      <c r="BE103" s="32">
        <f>VLOOKUP($AV103,Dummy!$A:$R,10,FALSE)</f>
        <v>0</v>
      </c>
      <c r="BF103" s="32">
        <f>VLOOKUP($AV103,Dummy!$A:$R,11,FALSE)</f>
        <v>0</v>
      </c>
      <c r="BG103" s="32">
        <f>VLOOKUP($AV103,Dummy!$A:$R,12,FALSE)</f>
        <v>0</v>
      </c>
      <c r="BH103" s="32">
        <f>VLOOKUP($AV103,Dummy!$A:$R,13,FALSE)</f>
        <v>0</v>
      </c>
      <c r="BI103" s="32">
        <f>VLOOKUP($AV103,Dummy!$A:$R,14,FALSE)</f>
        <v>0</v>
      </c>
      <c r="BJ103" s="33" t="str">
        <f>VLOOKUP($AV103,Dummy!$A:$R,15,FALSE)</f>
        <v>MAX</v>
      </c>
      <c r="BK103" s="32">
        <f>VLOOKUP($AV103,Dummy!$A:$R,16,FALSE)</f>
        <v>0</v>
      </c>
      <c r="BL103" s="32">
        <f>VLOOKUP($AV103,Dummy!$A:$R,17,FALSE)</f>
        <v>0</v>
      </c>
      <c r="BM103" s="33" t="str">
        <f>VLOOKUP($AV103,Dummy!$A:$R,18,FALSE)</f>
        <v>MAX</v>
      </c>
    </row>
    <row r="104" spans="2:65" x14ac:dyDescent="0.25">
      <c r="B104" s="17">
        <v>45851</v>
      </c>
      <c r="C104" s="21">
        <v>0.83333333333333337</v>
      </c>
      <c r="D104" s="29" t="s">
        <v>58</v>
      </c>
      <c r="E104" s="37"/>
      <c r="F104" s="11" t="s">
        <v>7</v>
      </c>
      <c r="G104" s="38"/>
      <c r="H104" s="25" t="s">
        <v>31</v>
      </c>
      <c r="I104" s="37"/>
      <c r="J104" s="11" t="s">
        <v>7</v>
      </c>
      <c r="K104" s="38"/>
      <c r="L104" s="37"/>
      <c r="M104" s="11" t="s">
        <v>7</v>
      </c>
      <c r="N104" s="38"/>
      <c r="O104" s="37"/>
      <c r="P104" s="11" t="s">
        <v>7</v>
      </c>
      <c r="Q104" s="38"/>
      <c r="R104" s="37"/>
      <c r="S104" s="11" t="s">
        <v>7</v>
      </c>
      <c r="T104" s="38"/>
      <c r="U104" s="37"/>
      <c r="V104" s="11" t="s">
        <v>7</v>
      </c>
      <c r="W104" s="38"/>
      <c r="X104" s="12">
        <f t="shared" si="126"/>
        <v>0</v>
      </c>
      <c r="Y104" s="13" t="s">
        <v>7</v>
      </c>
      <c r="Z104" s="14">
        <f t="shared" si="127"/>
        <v>0</v>
      </c>
      <c r="AB104" s="4">
        <f t="shared" si="128"/>
        <v>0</v>
      </c>
      <c r="AC104" s="4">
        <f t="shared" si="129"/>
        <v>0</v>
      </c>
      <c r="AD104" s="4">
        <f t="shared" si="130"/>
        <v>0</v>
      </c>
      <c r="AE104" s="4">
        <f t="shared" si="131"/>
        <v>0</v>
      </c>
      <c r="AF104" s="4">
        <f t="shared" si="132"/>
        <v>0</v>
      </c>
      <c r="AG104" s="4">
        <f t="shared" si="133"/>
        <v>0</v>
      </c>
      <c r="AH104" s="4">
        <f t="shared" si="134"/>
        <v>0</v>
      </c>
      <c r="AI104" s="4">
        <f t="shared" si="135"/>
        <v>0</v>
      </c>
      <c r="AJ104" s="4">
        <f t="shared" si="136"/>
        <v>0</v>
      </c>
      <c r="AK104" s="4">
        <f t="shared" si="137"/>
        <v>0</v>
      </c>
      <c r="AM104" s="4">
        <f t="shared" si="138"/>
        <v>0</v>
      </c>
      <c r="AN104" s="4">
        <f t="shared" si="139"/>
        <v>0</v>
      </c>
      <c r="AO104" s="4">
        <f t="shared" si="140"/>
        <v>0</v>
      </c>
      <c r="AP104" s="4">
        <f t="shared" si="141"/>
        <v>0</v>
      </c>
      <c r="AQ104" s="4">
        <f t="shared" si="142"/>
        <v>0</v>
      </c>
      <c r="AR104" s="4">
        <f t="shared" si="143"/>
        <v>0</v>
      </c>
      <c r="AS104" s="4">
        <f t="shared" si="144"/>
        <v>0</v>
      </c>
      <c r="AT104" s="4">
        <f t="shared" si="145"/>
        <v>0</v>
      </c>
      <c r="AU104" s="4">
        <f t="shared" si="146"/>
        <v>0</v>
      </c>
      <c r="AV104" s="35">
        <v>13</v>
      </c>
      <c r="AW104" s="34" t="str">
        <f>VLOOKUP($AV104,Dummy!$A:$R,2,FALSE)</f>
        <v>Holanda</v>
      </c>
      <c r="AX104" s="32">
        <f>VLOOKUP($AV104,Dummy!$A:$R,3,FALSE)</f>
        <v>0</v>
      </c>
      <c r="AY104" s="32">
        <f>VLOOKUP($AV104,Dummy!$A:$R,4,FALSE)</f>
        <v>0</v>
      </c>
      <c r="AZ104" s="32">
        <f>VLOOKUP($AV104,Dummy!$A:$R,5,FALSE)</f>
        <v>0</v>
      </c>
      <c r="BA104" s="32">
        <f>VLOOKUP($AV104,Dummy!$A:$R,6,FALSE)</f>
        <v>0</v>
      </c>
      <c r="BB104" s="32">
        <f>VLOOKUP($AV104,Dummy!$A:$R,7,FALSE)</f>
        <v>0</v>
      </c>
      <c r="BC104" s="32">
        <f>VLOOKUP($AV104,Dummy!$A:$R,8,FALSE)</f>
        <v>0</v>
      </c>
      <c r="BD104" s="32">
        <f>VLOOKUP($AV104,Dummy!$A:$R,9,FALSE)</f>
        <v>0</v>
      </c>
      <c r="BE104" s="32">
        <f>VLOOKUP($AV104,Dummy!$A:$R,10,FALSE)</f>
        <v>0</v>
      </c>
      <c r="BF104" s="32">
        <f>VLOOKUP($AV104,Dummy!$A:$R,11,FALSE)</f>
        <v>0</v>
      </c>
      <c r="BG104" s="32">
        <f>VLOOKUP($AV104,Dummy!$A:$R,12,FALSE)</f>
        <v>0</v>
      </c>
      <c r="BH104" s="32">
        <f>VLOOKUP($AV104,Dummy!$A:$R,13,FALSE)</f>
        <v>0</v>
      </c>
      <c r="BI104" s="32">
        <f>VLOOKUP($AV104,Dummy!$A:$R,14,FALSE)</f>
        <v>0</v>
      </c>
      <c r="BJ104" s="33" t="str">
        <f>VLOOKUP($AV104,Dummy!$A:$R,15,FALSE)</f>
        <v>MAX</v>
      </c>
      <c r="BK104" s="32">
        <f>VLOOKUP($AV104,Dummy!$A:$R,16,FALSE)</f>
        <v>0</v>
      </c>
      <c r="BL104" s="32">
        <f>VLOOKUP($AV104,Dummy!$A:$R,17,FALSE)</f>
        <v>0</v>
      </c>
      <c r="BM104" s="33" t="str">
        <f>VLOOKUP($AV104,Dummy!$A:$R,18,FALSE)</f>
        <v>MAX</v>
      </c>
    </row>
    <row r="105" spans="2:65" ht="14.25" x14ac:dyDescent="0.25">
      <c r="B105" s="66" t="s">
        <v>74</v>
      </c>
      <c r="C105" s="66"/>
      <c r="D105" s="66"/>
      <c r="E105" s="66"/>
      <c r="F105" s="69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V105" s="35">
        <v>14</v>
      </c>
      <c r="AW105" s="34" t="str">
        <f>VLOOKUP($AV105,Dummy!$A:$R,2,FALSE)</f>
        <v>Polônia</v>
      </c>
      <c r="AX105" s="32">
        <f>VLOOKUP($AV105,Dummy!$A:$R,3,FALSE)</f>
        <v>0</v>
      </c>
      <c r="AY105" s="32">
        <f>VLOOKUP($AV105,Dummy!$A:$R,4,FALSE)</f>
        <v>0</v>
      </c>
      <c r="AZ105" s="32">
        <f>VLOOKUP($AV105,Dummy!$A:$R,5,FALSE)</f>
        <v>0</v>
      </c>
      <c r="BA105" s="32">
        <f>VLOOKUP($AV105,Dummy!$A:$R,6,FALSE)</f>
        <v>0</v>
      </c>
      <c r="BB105" s="32">
        <f>VLOOKUP($AV105,Dummy!$A:$R,7,FALSE)</f>
        <v>0</v>
      </c>
      <c r="BC105" s="32">
        <f>VLOOKUP($AV105,Dummy!$A:$R,8,FALSE)</f>
        <v>0</v>
      </c>
      <c r="BD105" s="32">
        <f>VLOOKUP($AV105,Dummy!$A:$R,9,FALSE)</f>
        <v>0</v>
      </c>
      <c r="BE105" s="32">
        <f>VLOOKUP($AV105,Dummy!$A:$R,10,FALSE)</f>
        <v>0</v>
      </c>
      <c r="BF105" s="32">
        <f>VLOOKUP($AV105,Dummy!$A:$R,11,FALSE)</f>
        <v>0</v>
      </c>
      <c r="BG105" s="32">
        <f>VLOOKUP($AV105,Dummy!$A:$R,12,FALSE)</f>
        <v>0</v>
      </c>
      <c r="BH105" s="32">
        <f>VLOOKUP($AV105,Dummy!$A:$R,13,FALSE)</f>
        <v>0</v>
      </c>
      <c r="BI105" s="32">
        <f>VLOOKUP($AV105,Dummy!$A:$R,14,FALSE)</f>
        <v>0</v>
      </c>
      <c r="BJ105" s="33" t="str">
        <f>VLOOKUP($AV105,Dummy!$A:$R,15,FALSE)</f>
        <v>MAX</v>
      </c>
      <c r="BK105" s="32">
        <f>VLOOKUP($AV105,Dummy!$A:$R,16,FALSE)</f>
        <v>0</v>
      </c>
      <c r="BL105" s="32">
        <f>VLOOKUP($AV105,Dummy!$A:$R,17,FALSE)</f>
        <v>0</v>
      </c>
      <c r="BM105" s="33" t="str">
        <f>VLOOKUP($AV105,Dummy!$A:$R,18,FALSE)</f>
        <v>MAX</v>
      </c>
    </row>
    <row r="106" spans="2:65" x14ac:dyDescent="0.25">
      <c r="B106" s="16" t="s">
        <v>2</v>
      </c>
      <c r="C106" s="20" t="s">
        <v>3</v>
      </c>
      <c r="D106" s="28"/>
      <c r="E106" s="68" t="s">
        <v>4</v>
      </c>
      <c r="F106" s="68"/>
      <c r="G106" s="68"/>
      <c r="H106" s="24"/>
      <c r="I106" s="68" t="s">
        <v>5</v>
      </c>
      <c r="J106" s="68"/>
      <c r="K106" s="68"/>
      <c r="L106" s="68" t="s">
        <v>6</v>
      </c>
      <c r="M106" s="68"/>
      <c r="N106" s="68"/>
      <c r="O106" s="68" t="s">
        <v>8</v>
      </c>
      <c r="P106" s="68"/>
      <c r="Q106" s="68"/>
      <c r="R106" s="68" t="s">
        <v>9</v>
      </c>
      <c r="S106" s="68"/>
      <c r="T106" s="68"/>
      <c r="U106" s="68" t="s">
        <v>10</v>
      </c>
      <c r="V106" s="68"/>
      <c r="W106" s="68"/>
      <c r="X106" s="68" t="s">
        <v>11</v>
      </c>
      <c r="Y106" s="68"/>
      <c r="Z106" s="68"/>
      <c r="AB106" s="4" t="s">
        <v>39</v>
      </c>
      <c r="AC106" s="4" t="s">
        <v>24</v>
      </c>
      <c r="AD106" s="4" t="s">
        <v>21</v>
      </c>
      <c r="AE106" s="4" t="s">
        <v>19</v>
      </c>
      <c r="AF106" s="4" t="s">
        <v>20</v>
      </c>
      <c r="AG106" s="4" t="s">
        <v>16</v>
      </c>
      <c r="AH106" s="8" t="s">
        <v>18</v>
      </c>
      <c r="AI106" s="8" t="s">
        <v>17</v>
      </c>
      <c r="AJ106" s="4" t="s">
        <v>22</v>
      </c>
      <c r="AK106" s="4" t="s">
        <v>23</v>
      </c>
      <c r="AM106" s="4" t="s">
        <v>25</v>
      </c>
      <c r="AN106" s="4" t="s">
        <v>26</v>
      </c>
      <c r="AO106" s="4" t="s">
        <v>19</v>
      </c>
      <c r="AP106" s="4" t="s">
        <v>20</v>
      </c>
      <c r="AQ106" s="8" t="s">
        <v>32</v>
      </c>
      <c r="AR106" s="8" t="s">
        <v>33</v>
      </c>
      <c r="AS106" s="8" t="s">
        <v>34</v>
      </c>
      <c r="AT106" s="4" t="s">
        <v>22</v>
      </c>
      <c r="AU106" s="4" t="s">
        <v>23</v>
      </c>
      <c r="AV106" s="35">
        <v>15</v>
      </c>
      <c r="AW106" s="34" t="str">
        <f>VLOOKUP($AV106,Dummy!$A:$R,2,FALSE)</f>
        <v>República Dominicana</v>
      </c>
      <c r="AX106" s="32">
        <f>VLOOKUP($AV106,Dummy!$A:$R,3,FALSE)</f>
        <v>0</v>
      </c>
      <c r="AY106" s="32">
        <f>VLOOKUP($AV106,Dummy!$A:$R,4,FALSE)</f>
        <v>0</v>
      </c>
      <c r="AZ106" s="32">
        <f>VLOOKUP($AV106,Dummy!$A:$R,5,FALSE)</f>
        <v>0</v>
      </c>
      <c r="BA106" s="32">
        <f>VLOOKUP($AV106,Dummy!$A:$R,6,FALSE)</f>
        <v>0</v>
      </c>
      <c r="BB106" s="32">
        <f>VLOOKUP($AV106,Dummy!$A:$R,7,FALSE)</f>
        <v>0</v>
      </c>
      <c r="BC106" s="32">
        <f>VLOOKUP($AV106,Dummy!$A:$R,8,FALSE)</f>
        <v>0</v>
      </c>
      <c r="BD106" s="32">
        <f>VLOOKUP($AV106,Dummy!$A:$R,9,FALSE)</f>
        <v>0</v>
      </c>
      <c r="BE106" s="32">
        <f>VLOOKUP($AV106,Dummy!$A:$R,10,FALSE)</f>
        <v>0</v>
      </c>
      <c r="BF106" s="32">
        <f>VLOOKUP($AV106,Dummy!$A:$R,11,FALSE)</f>
        <v>0</v>
      </c>
      <c r="BG106" s="32">
        <f>VLOOKUP($AV106,Dummy!$A:$R,12,FALSE)</f>
        <v>0</v>
      </c>
      <c r="BH106" s="32">
        <f>VLOOKUP($AV106,Dummy!$A:$R,13,FALSE)</f>
        <v>0</v>
      </c>
      <c r="BI106" s="32">
        <f>VLOOKUP($AV106,Dummy!$A:$R,14,FALSE)</f>
        <v>0</v>
      </c>
      <c r="BJ106" s="33" t="str">
        <f>VLOOKUP($AV106,Dummy!$A:$R,15,FALSE)</f>
        <v>MAX</v>
      </c>
      <c r="BK106" s="32">
        <f>VLOOKUP($AV106,Dummy!$A:$R,16,FALSE)</f>
        <v>0</v>
      </c>
      <c r="BL106" s="32">
        <f>VLOOKUP($AV106,Dummy!$A:$R,17,FALSE)</f>
        <v>0</v>
      </c>
      <c r="BM106" s="33" t="str">
        <f>VLOOKUP($AV106,Dummy!$A:$R,18,FALSE)</f>
        <v>MAX</v>
      </c>
    </row>
    <row r="107" spans="2:65" x14ac:dyDescent="0.25">
      <c r="B107" s="18">
        <v>45847</v>
      </c>
      <c r="C107" s="22">
        <v>0.52083333333333337</v>
      </c>
      <c r="D107" s="30" t="s">
        <v>43</v>
      </c>
      <c r="E107" s="37"/>
      <c r="F107" s="11" t="s">
        <v>7</v>
      </c>
      <c r="G107" s="38"/>
      <c r="H107" s="26" t="s">
        <v>52</v>
      </c>
      <c r="I107" s="37"/>
      <c r="J107" s="11" t="s">
        <v>7</v>
      </c>
      <c r="K107" s="38"/>
      <c r="L107" s="37"/>
      <c r="M107" s="11" t="s">
        <v>7</v>
      </c>
      <c r="N107" s="38"/>
      <c r="O107" s="37"/>
      <c r="P107" s="11" t="s">
        <v>7</v>
      </c>
      <c r="Q107" s="38"/>
      <c r="R107" s="37"/>
      <c r="S107" s="11" t="s">
        <v>7</v>
      </c>
      <c r="T107" s="38"/>
      <c r="U107" s="37"/>
      <c r="V107" s="11" t="s">
        <v>7</v>
      </c>
      <c r="W107" s="38"/>
      <c r="X107" s="12">
        <f>SUM(I107,L107,O107,R107,U107)</f>
        <v>0</v>
      </c>
      <c r="Y107" s="13" t="s">
        <v>7</v>
      </c>
      <c r="Z107" s="14">
        <f>SUM(K107,N107,Q107,T107,W107)</f>
        <v>0</v>
      </c>
      <c r="AB107" s="4">
        <f t="shared" ref="AB107:AB118" si="147">AE107+AF107</f>
        <v>0</v>
      </c>
      <c r="AC107" s="4">
        <f t="shared" ref="AC107:AC118" si="148">IF(OR(E107="",G107=""),0,IF(E107&gt;G107,D107,H107))</f>
        <v>0</v>
      </c>
      <c r="AD107" s="4">
        <f t="shared" ref="AD107:AD118" si="149">IF(OR(E107="",G107=""),0,1)</f>
        <v>0</v>
      </c>
      <c r="AE107" s="4">
        <f t="shared" ref="AE107:AE118" si="150">IF(OR(E107="",G107=""),0,IF(E107&gt;G107,E107,G107))</f>
        <v>0</v>
      </c>
      <c r="AF107" s="4">
        <f t="shared" ref="AF107:AF118" si="151">IF(OR(E107="",G107=""),0,IF(E107&gt;G107,G107,E107))</f>
        <v>0</v>
      </c>
      <c r="AG107" s="4">
        <f t="shared" ref="AG107:AG118" si="152">IF(AND(AE107=3,AF107=0),1,0)</f>
        <v>0</v>
      </c>
      <c r="AH107" s="4">
        <f t="shared" ref="AH107:AH118" si="153">IF(AND(AE107=3,AF107=1),1,0)</f>
        <v>0</v>
      </c>
      <c r="AI107" s="4">
        <f t="shared" ref="AI107:AI118" si="154">IF(AND(AE107=3,AF107=2),1,0)</f>
        <v>0</v>
      </c>
      <c r="AJ107" s="4">
        <f t="shared" ref="AJ107:AJ118" si="155">IF(E107&gt;G107,SUM(I107,L107,O107,R107,U107,),SUM(K107,N107,Q107,T107,W107))</f>
        <v>0</v>
      </c>
      <c r="AK107" s="4">
        <f t="shared" ref="AK107:AK118" si="156">IF(E107&gt;G107,SUM(K107,N107,Q107,T107,W107),SUM(I107,L107,O107,R107,U107))</f>
        <v>0</v>
      </c>
      <c r="AM107" s="4">
        <f t="shared" ref="AM107:AM118" si="157">IF(OR(E107="",G107=""),0,IF(E107&lt;G107,D107,H107))</f>
        <v>0</v>
      </c>
      <c r="AN107" s="4">
        <f t="shared" ref="AN107:AN118" si="158">IF(OR(E107="",G107=""),0,1)</f>
        <v>0</v>
      </c>
      <c r="AO107" s="4">
        <f t="shared" ref="AO107:AO118" si="159">IF(OR(E107="",G107=""),0,IF(E107&lt;G107,E107,G107))</f>
        <v>0</v>
      </c>
      <c r="AP107" s="4">
        <f t="shared" ref="AP107:AP118" si="160">IF(OR(E107="",G107=""),0,IF(E107&lt;G107,G107,E107))</f>
        <v>0</v>
      </c>
      <c r="AQ107" s="4">
        <f t="shared" ref="AQ107:AQ118" si="161">IF(AND(AO107=2,AP107=3),1,0)</f>
        <v>0</v>
      </c>
      <c r="AR107" s="4">
        <f t="shared" ref="AR107:AR118" si="162">IF(AND(AO107=1,AP107=3),1,0)</f>
        <v>0</v>
      </c>
      <c r="AS107" s="4">
        <f t="shared" ref="AS107:AS118" si="163">IF(AND(AO107=0,AP107=3),1,0)</f>
        <v>0</v>
      </c>
      <c r="AT107" s="4">
        <f t="shared" ref="AT107:AT118" si="164">IF(E107&lt;G107,SUM(I107,L107,O107,R107,U107,),SUM(K107,N107,Q107,T107,W107))</f>
        <v>0</v>
      </c>
      <c r="AU107" s="4">
        <f t="shared" ref="AU107:AU118" si="165">IF(E107&lt;G107,SUM(K107,N107,Q107,T107,W107),SUM(I107,L107,O107,R107,U107))</f>
        <v>0</v>
      </c>
      <c r="AV107" s="35">
        <v>16</v>
      </c>
      <c r="AW107" s="34" t="str">
        <f>VLOOKUP($AV107,Dummy!$A:$R,2,FALSE)</f>
        <v>Sérvia</v>
      </c>
      <c r="AX107" s="32">
        <f>VLOOKUP($AV107,Dummy!$A:$R,3,FALSE)</f>
        <v>0</v>
      </c>
      <c r="AY107" s="32">
        <f>VLOOKUP($AV107,Dummy!$A:$R,4,FALSE)</f>
        <v>0</v>
      </c>
      <c r="AZ107" s="32">
        <f>VLOOKUP($AV107,Dummy!$A:$R,5,FALSE)</f>
        <v>0</v>
      </c>
      <c r="BA107" s="32">
        <f>VLOOKUP($AV107,Dummy!$A:$R,6,FALSE)</f>
        <v>0</v>
      </c>
      <c r="BB107" s="32">
        <f>VLOOKUP($AV107,Dummy!$A:$R,7,FALSE)</f>
        <v>0</v>
      </c>
      <c r="BC107" s="32">
        <f>VLOOKUP($AV107,Dummy!$A:$R,8,FALSE)</f>
        <v>0</v>
      </c>
      <c r="BD107" s="32">
        <f>VLOOKUP($AV107,Dummy!$A:$R,9,FALSE)</f>
        <v>0</v>
      </c>
      <c r="BE107" s="32">
        <f>VLOOKUP($AV107,Dummy!$A:$R,10,FALSE)</f>
        <v>0</v>
      </c>
      <c r="BF107" s="32">
        <f>VLOOKUP($AV107,Dummy!$A:$R,11,FALSE)</f>
        <v>0</v>
      </c>
      <c r="BG107" s="32">
        <f>VLOOKUP($AV107,Dummy!$A:$R,12,FALSE)</f>
        <v>0</v>
      </c>
      <c r="BH107" s="32">
        <f>VLOOKUP($AV107,Dummy!$A:$R,13,FALSE)</f>
        <v>0</v>
      </c>
      <c r="BI107" s="32">
        <f>VLOOKUP($AV107,Dummy!$A:$R,14,FALSE)</f>
        <v>0</v>
      </c>
      <c r="BJ107" s="33" t="str">
        <f>VLOOKUP($AV107,Dummy!$A:$R,15,FALSE)</f>
        <v>MAX</v>
      </c>
      <c r="BK107" s="32">
        <f>VLOOKUP($AV107,Dummy!$A:$R,16,FALSE)</f>
        <v>0</v>
      </c>
      <c r="BL107" s="32">
        <f>VLOOKUP($AV107,Dummy!$A:$R,17,FALSE)</f>
        <v>0</v>
      </c>
      <c r="BM107" s="33" t="str">
        <f>VLOOKUP($AV107,Dummy!$A:$R,18,FALSE)</f>
        <v>MAX</v>
      </c>
    </row>
    <row r="108" spans="2:65" x14ac:dyDescent="0.25">
      <c r="B108" s="18">
        <v>45847</v>
      </c>
      <c r="C108" s="22">
        <v>0.66666666666666663</v>
      </c>
      <c r="D108" s="30" t="s">
        <v>57</v>
      </c>
      <c r="E108" s="42"/>
      <c r="F108" s="11" t="s">
        <v>7</v>
      </c>
      <c r="G108" s="41"/>
      <c r="H108" s="26" t="s">
        <v>54</v>
      </c>
      <c r="I108" s="37"/>
      <c r="J108" s="11" t="s">
        <v>7</v>
      </c>
      <c r="K108" s="38"/>
      <c r="L108" s="37"/>
      <c r="M108" s="11" t="s">
        <v>7</v>
      </c>
      <c r="N108" s="38"/>
      <c r="O108" s="37"/>
      <c r="P108" s="11" t="s">
        <v>7</v>
      </c>
      <c r="Q108" s="38"/>
      <c r="R108" s="37"/>
      <c r="S108" s="11" t="s">
        <v>7</v>
      </c>
      <c r="T108" s="38"/>
      <c r="U108" s="37"/>
      <c r="V108" s="11" t="s">
        <v>7</v>
      </c>
      <c r="W108" s="38"/>
      <c r="X108" s="12">
        <f t="shared" ref="X108:X118" si="166">SUM(I108,L108,O108,R108,U108)</f>
        <v>0</v>
      </c>
      <c r="Y108" s="13" t="s">
        <v>7</v>
      </c>
      <c r="Z108" s="14">
        <f t="shared" ref="Z108:Z118" si="167">SUM(K108,N108,Q108,T108,W108)</f>
        <v>0</v>
      </c>
      <c r="AB108" s="4">
        <f t="shared" si="147"/>
        <v>0</v>
      </c>
      <c r="AC108" s="4">
        <f t="shared" si="148"/>
        <v>0</v>
      </c>
      <c r="AD108" s="4">
        <f t="shared" si="149"/>
        <v>0</v>
      </c>
      <c r="AE108" s="4">
        <f t="shared" si="150"/>
        <v>0</v>
      </c>
      <c r="AF108" s="4">
        <f t="shared" si="151"/>
        <v>0</v>
      </c>
      <c r="AG108" s="4">
        <f t="shared" si="152"/>
        <v>0</v>
      </c>
      <c r="AH108" s="4">
        <f t="shared" si="153"/>
        <v>0</v>
      </c>
      <c r="AI108" s="4">
        <f t="shared" si="154"/>
        <v>0</v>
      </c>
      <c r="AJ108" s="4">
        <f t="shared" si="155"/>
        <v>0</v>
      </c>
      <c r="AK108" s="4">
        <f t="shared" si="156"/>
        <v>0</v>
      </c>
      <c r="AM108" s="4">
        <f t="shared" si="157"/>
        <v>0</v>
      </c>
      <c r="AN108" s="4">
        <f t="shared" si="158"/>
        <v>0</v>
      </c>
      <c r="AO108" s="4">
        <f t="shared" si="159"/>
        <v>0</v>
      </c>
      <c r="AP108" s="4">
        <f t="shared" si="160"/>
        <v>0</v>
      </c>
      <c r="AQ108" s="4">
        <f t="shared" si="161"/>
        <v>0</v>
      </c>
      <c r="AR108" s="4">
        <f t="shared" si="162"/>
        <v>0</v>
      </c>
      <c r="AS108" s="4">
        <f t="shared" si="163"/>
        <v>0</v>
      </c>
      <c r="AT108" s="4">
        <f t="shared" si="164"/>
        <v>0</v>
      </c>
      <c r="AU108" s="4">
        <f t="shared" si="165"/>
        <v>0</v>
      </c>
      <c r="AV108" s="35">
        <v>17</v>
      </c>
      <c r="AW108" s="34" t="str">
        <f>VLOOKUP($AV108,Dummy!$A:$R,2,FALSE)</f>
        <v>Tailândia</v>
      </c>
      <c r="AX108" s="32">
        <f>VLOOKUP($AV108,Dummy!$A:$R,3,FALSE)</f>
        <v>0</v>
      </c>
      <c r="AY108" s="32">
        <f>VLOOKUP($AV108,Dummy!$A:$R,4,FALSE)</f>
        <v>0</v>
      </c>
      <c r="AZ108" s="32">
        <f>VLOOKUP($AV108,Dummy!$A:$R,5,FALSE)</f>
        <v>0</v>
      </c>
      <c r="BA108" s="32">
        <f>VLOOKUP($AV108,Dummy!$A:$R,6,FALSE)</f>
        <v>0</v>
      </c>
      <c r="BB108" s="32">
        <f>VLOOKUP($AV108,Dummy!$A:$R,7,FALSE)</f>
        <v>0</v>
      </c>
      <c r="BC108" s="32">
        <f>VLOOKUP($AV108,Dummy!$A:$R,8,FALSE)</f>
        <v>0</v>
      </c>
      <c r="BD108" s="32">
        <f>VLOOKUP($AV108,Dummy!$A:$R,9,FALSE)</f>
        <v>0</v>
      </c>
      <c r="BE108" s="32">
        <f>VLOOKUP($AV108,Dummy!$A:$R,10,FALSE)</f>
        <v>0</v>
      </c>
      <c r="BF108" s="32">
        <f>VLOOKUP($AV108,Dummy!$A:$R,11,FALSE)</f>
        <v>0</v>
      </c>
      <c r="BG108" s="32">
        <f>VLOOKUP($AV108,Dummy!$A:$R,12,FALSE)</f>
        <v>0</v>
      </c>
      <c r="BH108" s="32">
        <f>VLOOKUP($AV108,Dummy!$A:$R,13,FALSE)</f>
        <v>0</v>
      </c>
      <c r="BI108" s="32">
        <f>VLOOKUP($AV108,Dummy!$A:$R,14,FALSE)</f>
        <v>0</v>
      </c>
      <c r="BJ108" s="33" t="str">
        <f>VLOOKUP($AV108,Dummy!$A:$R,15,FALSE)</f>
        <v>MAX</v>
      </c>
      <c r="BK108" s="32">
        <f>VLOOKUP($AV108,Dummy!$A:$R,16,FALSE)</f>
        <v>0</v>
      </c>
      <c r="BL108" s="32">
        <f>VLOOKUP($AV108,Dummy!$A:$R,17,FALSE)</f>
        <v>0</v>
      </c>
      <c r="BM108" s="33" t="str">
        <f>VLOOKUP($AV108,Dummy!$A:$R,18,FALSE)</f>
        <v>MAX</v>
      </c>
    </row>
    <row r="109" spans="2:65" x14ac:dyDescent="0.25">
      <c r="B109" s="18">
        <v>45847</v>
      </c>
      <c r="C109" s="22">
        <v>0.8125</v>
      </c>
      <c r="D109" s="30" t="s">
        <v>59</v>
      </c>
      <c r="E109" s="37"/>
      <c r="F109" s="11" t="s">
        <v>7</v>
      </c>
      <c r="G109" s="38"/>
      <c r="H109" s="26" t="s">
        <v>56</v>
      </c>
      <c r="I109" s="37"/>
      <c r="J109" s="11" t="s">
        <v>7</v>
      </c>
      <c r="K109" s="38"/>
      <c r="L109" s="37"/>
      <c r="M109" s="11" t="s">
        <v>7</v>
      </c>
      <c r="N109" s="38"/>
      <c r="O109" s="37"/>
      <c r="P109" s="11" t="s">
        <v>7</v>
      </c>
      <c r="Q109" s="38"/>
      <c r="R109" s="37"/>
      <c r="S109" s="11" t="s">
        <v>7</v>
      </c>
      <c r="T109" s="38"/>
      <c r="U109" s="37"/>
      <c r="V109" s="11" t="s">
        <v>7</v>
      </c>
      <c r="W109" s="38"/>
      <c r="X109" s="12">
        <f t="shared" si="166"/>
        <v>0</v>
      </c>
      <c r="Y109" s="13" t="s">
        <v>7</v>
      </c>
      <c r="Z109" s="14">
        <f t="shared" si="167"/>
        <v>0</v>
      </c>
      <c r="AB109" s="4">
        <f t="shared" si="147"/>
        <v>0</v>
      </c>
      <c r="AC109" s="4">
        <f t="shared" si="148"/>
        <v>0</v>
      </c>
      <c r="AD109" s="4">
        <f t="shared" si="149"/>
        <v>0</v>
      </c>
      <c r="AE109" s="4">
        <f t="shared" si="150"/>
        <v>0</v>
      </c>
      <c r="AF109" s="4">
        <f t="shared" si="151"/>
        <v>0</v>
      </c>
      <c r="AG109" s="4">
        <f t="shared" si="152"/>
        <v>0</v>
      </c>
      <c r="AH109" s="4">
        <f t="shared" si="153"/>
        <v>0</v>
      </c>
      <c r="AI109" s="4">
        <f t="shared" si="154"/>
        <v>0</v>
      </c>
      <c r="AJ109" s="4">
        <f t="shared" si="155"/>
        <v>0</v>
      </c>
      <c r="AK109" s="4">
        <f t="shared" si="156"/>
        <v>0</v>
      </c>
      <c r="AM109" s="4">
        <f t="shared" si="157"/>
        <v>0</v>
      </c>
      <c r="AN109" s="4">
        <f t="shared" si="158"/>
        <v>0</v>
      </c>
      <c r="AO109" s="4">
        <f t="shared" si="159"/>
        <v>0</v>
      </c>
      <c r="AP109" s="4">
        <f t="shared" si="160"/>
        <v>0</v>
      </c>
      <c r="AQ109" s="4">
        <f t="shared" si="161"/>
        <v>0</v>
      </c>
      <c r="AR109" s="4">
        <f t="shared" si="162"/>
        <v>0</v>
      </c>
      <c r="AS109" s="4">
        <f t="shared" si="163"/>
        <v>0</v>
      </c>
      <c r="AT109" s="4">
        <f t="shared" si="164"/>
        <v>0</v>
      </c>
      <c r="AU109" s="4">
        <f t="shared" si="165"/>
        <v>0</v>
      </c>
      <c r="AV109" s="35">
        <v>18</v>
      </c>
      <c r="AW109" s="34" t="str">
        <f>VLOOKUP($AV109,Dummy!$A:$R,2,FALSE)</f>
        <v>Turquia</v>
      </c>
      <c r="AX109" s="32">
        <f>VLOOKUP($AV109,Dummy!$A:$R,3,FALSE)</f>
        <v>0</v>
      </c>
      <c r="AY109" s="32">
        <f>VLOOKUP($AV109,Dummy!$A:$R,4,FALSE)</f>
        <v>0</v>
      </c>
      <c r="AZ109" s="32">
        <f>VLOOKUP($AV109,Dummy!$A:$R,5,FALSE)</f>
        <v>0</v>
      </c>
      <c r="BA109" s="32">
        <f>VLOOKUP($AV109,Dummy!$A:$R,6,FALSE)</f>
        <v>0</v>
      </c>
      <c r="BB109" s="32">
        <f>VLOOKUP($AV109,Dummy!$A:$R,7,FALSE)</f>
        <v>0</v>
      </c>
      <c r="BC109" s="32">
        <f>VLOOKUP($AV109,Dummy!$A:$R,8,FALSE)</f>
        <v>0</v>
      </c>
      <c r="BD109" s="32">
        <f>VLOOKUP($AV109,Dummy!$A:$R,9,FALSE)</f>
        <v>0</v>
      </c>
      <c r="BE109" s="32">
        <f>VLOOKUP($AV109,Dummy!$A:$R,10,FALSE)</f>
        <v>0</v>
      </c>
      <c r="BF109" s="32">
        <f>VLOOKUP($AV109,Dummy!$A:$R,11,FALSE)</f>
        <v>0</v>
      </c>
      <c r="BG109" s="32">
        <f>VLOOKUP($AV109,Dummy!$A:$R,12,FALSE)</f>
        <v>0</v>
      </c>
      <c r="BH109" s="32">
        <f>VLOOKUP($AV109,Dummy!$A:$R,13,FALSE)</f>
        <v>0</v>
      </c>
      <c r="BI109" s="32">
        <f>VLOOKUP($AV109,Dummy!$A:$R,14,FALSE)</f>
        <v>0</v>
      </c>
      <c r="BJ109" s="33" t="str">
        <f>VLOOKUP($AV109,Dummy!$A:$R,15,FALSE)</f>
        <v>MAX</v>
      </c>
      <c r="BK109" s="32">
        <f>VLOOKUP($AV109,Dummy!$A:$R,16,FALSE)</f>
        <v>0</v>
      </c>
      <c r="BL109" s="32">
        <f>VLOOKUP($AV109,Dummy!$A:$R,17,FALSE)</f>
        <v>0</v>
      </c>
      <c r="BM109" s="33" t="str">
        <f>VLOOKUP($AV109,Dummy!$A:$R,18,FALSE)</f>
        <v>MAX</v>
      </c>
    </row>
    <row r="110" spans="2:65" x14ac:dyDescent="0.25">
      <c r="B110" s="18">
        <v>45848</v>
      </c>
      <c r="C110" s="22">
        <v>0.66666666666666663</v>
      </c>
      <c r="D110" s="30" t="s">
        <v>59</v>
      </c>
      <c r="E110" s="37"/>
      <c r="F110" s="11" t="s">
        <v>7</v>
      </c>
      <c r="G110" s="38"/>
      <c r="H110" s="26" t="s">
        <v>43</v>
      </c>
      <c r="I110" s="37"/>
      <c r="J110" s="11" t="s">
        <v>7</v>
      </c>
      <c r="K110" s="38"/>
      <c r="L110" s="37"/>
      <c r="M110" s="11" t="s">
        <v>7</v>
      </c>
      <c r="N110" s="38"/>
      <c r="O110" s="37"/>
      <c r="P110" s="11" t="s">
        <v>7</v>
      </c>
      <c r="Q110" s="38"/>
      <c r="R110" s="37"/>
      <c r="S110" s="11" t="s">
        <v>7</v>
      </c>
      <c r="T110" s="38"/>
      <c r="U110" s="37"/>
      <c r="V110" s="11" t="s">
        <v>7</v>
      </c>
      <c r="W110" s="38"/>
      <c r="X110" s="12">
        <f t="shared" si="166"/>
        <v>0</v>
      </c>
      <c r="Y110" s="13" t="s">
        <v>7</v>
      </c>
      <c r="Z110" s="14">
        <f t="shared" si="167"/>
        <v>0</v>
      </c>
      <c r="AB110" s="4">
        <f t="shared" si="147"/>
        <v>0</v>
      </c>
      <c r="AC110" s="4">
        <f t="shared" si="148"/>
        <v>0</v>
      </c>
      <c r="AD110" s="4">
        <f t="shared" si="149"/>
        <v>0</v>
      </c>
      <c r="AE110" s="4">
        <f t="shared" si="150"/>
        <v>0</v>
      </c>
      <c r="AF110" s="4">
        <f t="shared" si="151"/>
        <v>0</v>
      </c>
      <c r="AG110" s="4">
        <f t="shared" si="152"/>
        <v>0</v>
      </c>
      <c r="AH110" s="4">
        <f t="shared" si="153"/>
        <v>0</v>
      </c>
      <c r="AI110" s="4">
        <f t="shared" si="154"/>
        <v>0</v>
      </c>
      <c r="AJ110" s="4">
        <f t="shared" si="155"/>
        <v>0</v>
      </c>
      <c r="AK110" s="4">
        <f t="shared" si="156"/>
        <v>0</v>
      </c>
      <c r="AM110" s="4">
        <f t="shared" si="157"/>
        <v>0</v>
      </c>
      <c r="AN110" s="4">
        <f t="shared" si="158"/>
        <v>0</v>
      </c>
      <c r="AO110" s="4">
        <f t="shared" si="159"/>
        <v>0</v>
      </c>
      <c r="AP110" s="4">
        <f t="shared" si="160"/>
        <v>0</v>
      </c>
      <c r="AQ110" s="4">
        <f t="shared" si="161"/>
        <v>0</v>
      </c>
      <c r="AR110" s="4">
        <f t="shared" si="162"/>
        <v>0</v>
      </c>
      <c r="AS110" s="4">
        <f t="shared" si="163"/>
        <v>0</v>
      </c>
      <c r="AT110" s="4">
        <f t="shared" si="164"/>
        <v>0</v>
      </c>
      <c r="AU110" s="4">
        <f t="shared" si="165"/>
        <v>0</v>
      </c>
      <c r="AY110" s="57">
        <f>SUM(AY92:AY109)</f>
        <v>0</v>
      </c>
    </row>
    <row r="111" spans="2:65" x14ac:dyDescent="0.25">
      <c r="B111" s="18">
        <v>45848</v>
      </c>
      <c r="C111" s="22">
        <v>0.8125</v>
      </c>
      <c r="D111" s="30" t="s">
        <v>57</v>
      </c>
      <c r="E111" s="37"/>
      <c r="F111" s="11" t="s">
        <v>7</v>
      </c>
      <c r="G111" s="38"/>
      <c r="H111" s="26" t="s">
        <v>56</v>
      </c>
      <c r="I111" s="37"/>
      <c r="J111" s="11" t="s">
        <v>7</v>
      </c>
      <c r="K111" s="38"/>
      <c r="L111" s="37"/>
      <c r="M111" s="11" t="s">
        <v>7</v>
      </c>
      <c r="N111" s="38"/>
      <c r="O111" s="37"/>
      <c r="P111" s="11" t="s">
        <v>7</v>
      </c>
      <c r="Q111" s="38"/>
      <c r="R111" s="37"/>
      <c r="S111" s="11" t="s">
        <v>7</v>
      </c>
      <c r="T111" s="38"/>
      <c r="U111" s="37"/>
      <c r="V111" s="11" t="s">
        <v>7</v>
      </c>
      <c r="W111" s="38"/>
      <c r="X111" s="12">
        <f t="shared" si="166"/>
        <v>0</v>
      </c>
      <c r="Y111" s="13" t="s">
        <v>7</v>
      </c>
      <c r="Z111" s="14">
        <f t="shared" si="167"/>
        <v>0</v>
      </c>
      <c r="AB111" s="4">
        <f t="shared" si="147"/>
        <v>0</v>
      </c>
      <c r="AC111" s="4">
        <f t="shared" si="148"/>
        <v>0</v>
      </c>
      <c r="AD111" s="4">
        <f t="shared" si="149"/>
        <v>0</v>
      </c>
      <c r="AE111" s="4">
        <f t="shared" si="150"/>
        <v>0</v>
      </c>
      <c r="AF111" s="4">
        <f t="shared" si="151"/>
        <v>0</v>
      </c>
      <c r="AG111" s="4">
        <f t="shared" si="152"/>
        <v>0</v>
      </c>
      <c r="AH111" s="4">
        <f t="shared" si="153"/>
        <v>0</v>
      </c>
      <c r="AI111" s="4">
        <f t="shared" si="154"/>
        <v>0</v>
      </c>
      <c r="AJ111" s="4">
        <f t="shared" si="155"/>
        <v>0</v>
      </c>
      <c r="AK111" s="4">
        <f t="shared" si="156"/>
        <v>0</v>
      </c>
      <c r="AM111" s="4">
        <f t="shared" si="157"/>
        <v>0</v>
      </c>
      <c r="AN111" s="4">
        <f t="shared" si="158"/>
        <v>0</v>
      </c>
      <c r="AO111" s="4">
        <f t="shared" si="159"/>
        <v>0</v>
      </c>
      <c r="AP111" s="4">
        <f t="shared" si="160"/>
        <v>0</v>
      </c>
      <c r="AQ111" s="4">
        <f t="shared" si="161"/>
        <v>0</v>
      </c>
      <c r="AR111" s="4">
        <f t="shared" si="162"/>
        <v>0</v>
      </c>
      <c r="AS111" s="4">
        <f t="shared" si="163"/>
        <v>0</v>
      </c>
      <c r="AT111" s="4">
        <f t="shared" si="164"/>
        <v>0</v>
      </c>
      <c r="AU111" s="4">
        <f t="shared" si="165"/>
        <v>0</v>
      </c>
      <c r="AV111" s="62" t="s">
        <v>99</v>
      </c>
      <c r="AW111" s="62"/>
    </row>
    <row r="112" spans="2:65" x14ac:dyDescent="0.25">
      <c r="B112" s="18">
        <v>45849</v>
      </c>
      <c r="C112" s="22">
        <v>0.66666666666666663</v>
      </c>
      <c r="D112" s="30" t="s">
        <v>59</v>
      </c>
      <c r="E112" s="37"/>
      <c r="F112" s="11" t="s">
        <v>7</v>
      </c>
      <c r="G112" s="38"/>
      <c r="H112" s="26" t="s">
        <v>57</v>
      </c>
      <c r="I112" s="37"/>
      <c r="J112" s="11" t="s">
        <v>7</v>
      </c>
      <c r="K112" s="38"/>
      <c r="L112" s="37"/>
      <c r="M112" s="11" t="s">
        <v>7</v>
      </c>
      <c r="N112" s="38"/>
      <c r="O112" s="37"/>
      <c r="P112" s="11" t="s">
        <v>7</v>
      </c>
      <c r="Q112" s="38"/>
      <c r="R112" s="37"/>
      <c r="S112" s="11" t="s">
        <v>7</v>
      </c>
      <c r="T112" s="38"/>
      <c r="U112" s="37"/>
      <c r="V112" s="11" t="s">
        <v>7</v>
      </c>
      <c r="W112" s="38"/>
      <c r="X112" s="12">
        <f t="shared" si="166"/>
        <v>0</v>
      </c>
      <c r="Y112" s="13" t="s">
        <v>7</v>
      </c>
      <c r="Z112" s="14">
        <f t="shared" si="167"/>
        <v>0</v>
      </c>
      <c r="AB112" s="4">
        <f t="shared" si="147"/>
        <v>0</v>
      </c>
      <c r="AC112" s="4">
        <f t="shared" si="148"/>
        <v>0</v>
      </c>
      <c r="AD112" s="4">
        <f t="shared" si="149"/>
        <v>0</v>
      </c>
      <c r="AE112" s="4">
        <f t="shared" si="150"/>
        <v>0</v>
      </c>
      <c r="AF112" s="4">
        <f t="shared" si="151"/>
        <v>0</v>
      </c>
      <c r="AG112" s="4">
        <f t="shared" si="152"/>
        <v>0</v>
      </c>
      <c r="AH112" s="4">
        <f t="shared" si="153"/>
        <v>0</v>
      </c>
      <c r="AI112" s="4">
        <f t="shared" si="154"/>
        <v>0</v>
      </c>
      <c r="AJ112" s="4">
        <f t="shared" si="155"/>
        <v>0</v>
      </c>
      <c r="AK112" s="4">
        <f t="shared" si="156"/>
        <v>0</v>
      </c>
      <c r="AM112" s="4">
        <f t="shared" si="157"/>
        <v>0</v>
      </c>
      <c r="AN112" s="4">
        <f t="shared" si="158"/>
        <v>0</v>
      </c>
      <c r="AO112" s="4">
        <f t="shared" si="159"/>
        <v>0</v>
      </c>
      <c r="AP112" s="4">
        <f t="shared" si="160"/>
        <v>0</v>
      </c>
      <c r="AQ112" s="4">
        <f t="shared" si="161"/>
        <v>0</v>
      </c>
      <c r="AR112" s="4">
        <f t="shared" si="162"/>
        <v>0</v>
      </c>
      <c r="AS112" s="4">
        <f t="shared" si="163"/>
        <v>0</v>
      </c>
      <c r="AT112" s="4">
        <f t="shared" si="164"/>
        <v>0</v>
      </c>
      <c r="AU112" s="4">
        <f t="shared" si="165"/>
        <v>0</v>
      </c>
      <c r="AV112" s="58"/>
      <c r="AW112" s="7" t="s">
        <v>100</v>
      </c>
    </row>
    <row r="113" spans="2:49" x14ac:dyDescent="0.25">
      <c r="B113" s="18">
        <v>45849</v>
      </c>
      <c r="C113" s="22">
        <v>0.8125</v>
      </c>
      <c r="D113" s="30" t="s">
        <v>52</v>
      </c>
      <c r="E113" s="37"/>
      <c r="F113" s="11" t="s">
        <v>7</v>
      </c>
      <c r="G113" s="38"/>
      <c r="H113" s="26" t="s">
        <v>54</v>
      </c>
      <c r="I113" s="37"/>
      <c r="J113" s="11" t="s">
        <v>7</v>
      </c>
      <c r="K113" s="38"/>
      <c r="L113" s="37"/>
      <c r="M113" s="11" t="s">
        <v>7</v>
      </c>
      <c r="N113" s="38"/>
      <c r="O113" s="37"/>
      <c r="P113" s="11" t="s">
        <v>7</v>
      </c>
      <c r="Q113" s="38"/>
      <c r="R113" s="37"/>
      <c r="S113" s="11" t="s">
        <v>7</v>
      </c>
      <c r="T113" s="38"/>
      <c r="U113" s="37"/>
      <c r="V113" s="11" t="s">
        <v>7</v>
      </c>
      <c r="W113" s="38"/>
      <c r="X113" s="12">
        <f t="shared" si="166"/>
        <v>0</v>
      </c>
      <c r="Y113" s="13" t="s">
        <v>7</v>
      </c>
      <c r="Z113" s="14">
        <f t="shared" si="167"/>
        <v>0</v>
      </c>
      <c r="AB113" s="4">
        <f t="shared" si="147"/>
        <v>0</v>
      </c>
      <c r="AC113" s="4">
        <f t="shared" si="148"/>
        <v>0</v>
      </c>
      <c r="AD113" s="4">
        <f t="shared" si="149"/>
        <v>0</v>
      </c>
      <c r="AE113" s="4">
        <f t="shared" si="150"/>
        <v>0</v>
      </c>
      <c r="AF113" s="4">
        <f t="shared" si="151"/>
        <v>0</v>
      </c>
      <c r="AG113" s="4">
        <f t="shared" si="152"/>
        <v>0</v>
      </c>
      <c r="AH113" s="4">
        <f t="shared" si="153"/>
        <v>0</v>
      </c>
      <c r="AI113" s="4">
        <f t="shared" si="154"/>
        <v>0</v>
      </c>
      <c r="AJ113" s="4">
        <f t="shared" si="155"/>
        <v>0</v>
      </c>
      <c r="AK113" s="4">
        <f t="shared" si="156"/>
        <v>0</v>
      </c>
      <c r="AM113" s="4">
        <f t="shared" si="157"/>
        <v>0</v>
      </c>
      <c r="AN113" s="4">
        <f t="shared" si="158"/>
        <v>0</v>
      </c>
      <c r="AO113" s="4">
        <f t="shared" si="159"/>
        <v>0</v>
      </c>
      <c r="AP113" s="4">
        <f t="shared" si="160"/>
        <v>0</v>
      </c>
      <c r="AQ113" s="4">
        <f t="shared" si="161"/>
        <v>0</v>
      </c>
      <c r="AR113" s="4">
        <f t="shared" si="162"/>
        <v>0</v>
      </c>
      <c r="AS113" s="4">
        <f t="shared" si="163"/>
        <v>0</v>
      </c>
      <c r="AT113" s="4">
        <f t="shared" si="164"/>
        <v>0</v>
      </c>
      <c r="AU113" s="4">
        <f t="shared" si="165"/>
        <v>0</v>
      </c>
      <c r="AV113" s="59"/>
      <c r="AW113" s="7" t="s">
        <v>101</v>
      </c>
    </row>
    <row r="114" spans="2:49" x14ac:dyDescent="0.25">
      <c r="B114" s="18">
        <v>45850</v>
      </c>
      <c r="C114" s="22">
        <v>0.66666666666666663</v>
      </c>
      <c r="D114" s="30" t="s">
        <v>43</v>
      </c>
      <c r="E114" s="37"/>
      <c r="F114" s="11" t="s">
        <v>7</v>
      </c>
      <c r="G114" s="38"/>
      <c r="H114" s="26" t="s">
        <v>54</v>
      </c>
      <c r="I114" s="37"/>
      <c r="J114" s="11" t="s">
        <v>7</v>
      </c>
      <c r="K114" s="38"/>
      <c r="L114" s="37"/>
      <c r="M114" s="11" t="s">
        <v>7</v>
      </c>
      <c r="N114" s="38"/>
      <c r="O114" s="37"/>
      <c r="P114" s="11" t="s">
        <v>7</v>
      </c>
      <c r="Q114" s="38"/>
      <c r="R114" s="37"/>
      <c r="S114" s="11" t="s">
        <v>7</v>
      </c>
      <c r="T114" s="38"/>
      <c r="U114" s="37"/>
      <c r="V114" s="11" t="s">
        <v>7</v>
      </c>
      <c r="W114" s="38"/>
      <c r="X114" s="12">
        <f t="shared" si="166"/>
        <v>0</v>
      </c>
      <c r="Y114" s="13" t="s">
        <v>7</v>
      </c>
      <c r="Z114" s="14">
        <f t="shared" si="167"/>
        <v>0</v>
      </c>
      <c r="AB114" s="4">
        <f t="shared" si="147"/>
        <v>0</v>
      </c>
      <c r="AC114" s="4">
        <f t="shared" si="148"/>
        <v>0</v>
      </c>
      <c r="AD114" s="4">
        <f t="shared" si="149"/>
        <v>0</v>
      </c>
      <c r="AE114" s="4">
        <f t="shared" si="150"/>
        <v>0</v>
      </c>
      <c r="AF114" s="4">
        <f t="shared" si="151"/>
        <v>0</v>
      </c>
      <c r="AG114" s="4">
        <f t="shared" si="152"/>
        <v>0</v>
      </c>
      <c r="AH114" s="4">
        <f t="shared" si="153"/>
        <v>0</v>
      </c>
      <c r="AI114" s="4">
        <f t="shared" si="154"/>
        <v>0</v>
      </c>
      <c r="AJ114" s="4">
        <f t="shared" si="155"/>
        <v>0</v>
      </c>
      <c r="AK114" s="4">
        <f t="shared" si="156"/>
        <v>0</v>
      </c>
      <c r="AM114" s="4">
        <f t="shared" si="157"/>
        <v>0</v>
      </c>
      <c r="AN114" s="4">
        <f t="shared" si="158"/>
        <v>0</v>
      </c>
      <c r="AO114" s="4">
        <f t="shared" si="159"/>
        <v>0</v>
      </c>
      <c r="AP114" s="4">
        <f t="shared" si="160"/>
        <v>0</v>
      </c>
      <c r="AQ114" s="4">
        <f t="shared" si="161"/>
        <v>0</v>
      </c>
      <c r="AR114" s="4">
        <f t="shared" si="162"/>
        <v>0</v>
      </c>
      <c r="AS114" s="4">
        <f t="shared" si="163"/>
        <v>0</v>
      </c>
      <c r="AT114" s="4">
        <f t="shared" si="164"/>
        <v>0</v>
      </c>
      <c r="AU114" s="4">
        <f t="shared" si="165"/>
        <v>0</v>
      </c>
    </row>
    <row r="115" spans="2:49" x14ac:dyDescent="0.25">
      <c r="B115" s="18">
        <v>45850</v>
      </c>
      <c r="C115" s="22">
        <v>0.8125</v>
      </c>
      <c r="D115" s="30" t="s">
        <v>52</v>
      </c>
      <c r="E115" s="37"/>
      <c r="F115" s="11" t="s">
        <v>7</v>
      </c>
      <c r="G115" s="38"/>
      <c r="H115" s="26" t="s">
        <v>56</v>
      </c>
      <c r="I115" s="37"/>
      <c r="J115" s="11" t="s">
        <v>7</v>
      </c>
      <c r="K115" s="38"/>
      <c r="L115" s="37"/>
      <c r="M115" s="11" t="s">
        <v>7</v>
      </c>
      <c r="N115" s="38"/>
      <c r="O115" s="37"/>
      <c r="P115" s="11" t="s">
        <v>7</v>
      </c>
      <c r="Q115" s="38"/>
      <c r="R115" s="37"/>
      <c r="S115" s="11" t="s">
        <v>7</v>
      </c>
      <c r="T115" s="38"/>
      <c r="U115" s="37"/>
      <c r="V115" s="11" t="s">
        <v>7</v>
      </c>
      <c r="W115" s="38"/>
      <c r="X115" s="12">
        <f t="shared" si="166"/>
        <v>0</v>
      </c>
      <c r="Y115" s="13" t="s">
        <v>7</v>
      </c>
      <c r="Z115" s="14">
        <f t="shared" si="167"/>
        <v>0</v>
      </c>
      <c r="AB115" s="4">
        <f t="shared" si="147"/>
        <v>0</v>
      </c>
      <c r="AC115" s="4">
        <f t="shared" si="148"/>
        <v>0</v>
      </c>
      <c r="AD115" s="4">
        <f t="shared" si="149"/>
        <v>0</v>
      </c>
      <c r="AE115" s="4">
        <f t="shared" si="150"/>
        <v>0</v>
      </c>
      <c r="AF115" s="4">
        <f t="shared" si="151"/>
        <v>0</v>
      </c>
      <c r="AG115" s="4">
        <f t="shared" si="152"/>
        <v>0</v>
      </c>
      <c r="AH115" s="4">
        <f t="shared" si="153"/>
        <v>0</v>
      </c>
      <c r="AI115" s="4">
        <f t="shared" si="154"/>
        <v>0</v>
      </c>
      <c r="AJ115" s="4">
        <f t="shared" si="155"/>
        <v>0</v>
      </c>
      <c r="AK115" s="4">
        <f t="shared" si="156"/>
        <v>0</v>
      </c>
      <c r="AM115" s="4">
        <f t="shared" si="157"/>
        <v>0</v>
      </c>
      <c r="AN115" s="4">
        <f t="shared" si="158"/>
        <v>0</v>
      </c>
      <c r="AO115" s="4">
        <f t="shared" si="159"/>
        <v>0</v>
      </c>
      <c r="AP115" s="4">
        <f t="shared" si="160"/>
        <v>0</v>
      </c>
      <c r="AQ115" s="4">
        <f t="shared" si="161"/>
        <v>0</v>
      </c>
      <c r="AR115" s="4">
        <f t="shared" si="162"/>
        <v>0</v>
      </c>
      <c r="AS115" s="4">
        <f t="shared" si="163"/>
        <v>0</v>
      </c>
      <c r="AT115" s="4">
        <f t="shared" si="164"/>
        <v>0</v>
      </c>
      <c r="AU115" s="4">
        <f t="shared" si="165"/>
        <v>0</v>
      </c>
    </row>
    <row r="116" spans="2:49" x14ac:dyDescent="0.25">
      <c r="B116" s="18">
        <v>45851</v>
      </c>
      <c r="C116" s="22">
        <v>0.47916666666666669</v>
      </c>
      <c r="D116" s="30" t="s">
        <v>43</v>
      </c>
      <c r="E116" s="37"/>
      <c r="F116" s="11" t="s">
        <v>7</v>
      </c>
      <c r="G116" s="38"/>
      <c r="H116" s="26" t="s">
        <v>57</v>
      </c>
      <c r="I116" s="37"/>
      <c r="J116" s="11" t="s">
        <v>7</v>
      </c>
      <c r="K116" s="38"/>
      <c r="L116" s="37"/>
      <c r="M116" s="11" t="s">
        <v>7</v>
      </c>
      <c r="N116" s="38"/>
      <c r="O116" s="37"/>
      <c r="P116" s="11" t="s">
        <v>7</v>
      </c>
      <c r="Q116" s="38"/>
      <c r="R116" s="37"/>
      <c r="S116" s="11" t="s">
        <v>7</v>
      </c>
      <c r="T116" s="38"/>
      <c r="U116" s="37"/>
      <c r="V116" s="11" t="s">
        <v>7</v>
      </c>
      <c r="W116" s="38"/>
      <c r="X116" s="12">
        <f t="shared" si="166"/>
        <v>0</v>
      </c>
      <c r="Y116" s="13" t="s">
        <v>7</v>
      </c>
      <c r="Z116" s="14">
        <f t="shared" si="167"/>
        <v>0</v>
      </c>
      <c r="AB116" s="4">
        <f t="shared" si="147"/>
        <v>0</v>
      </c>
      <c r="AC116" s="4">
        <f t="shared" si="148"/>
        <v>0</v>
      </c>
      <c r="AD116" s="4">
        <f t="shared" si="149"/>
        <v>0</v>
      </c>
      <c r="AE116" s="4">
        <f t="shared" si="150"/>
        <v>0</v>
      </c>
      <c r="AF116" s="4">
        <f t="shared" si="151"/>
        <v>0</v>
      </c>
      <c r="AG116" s="4">
        <f t="shared" si="152"/>
        <v>0</v>
      </c>
      <c r="AH116" s="4">
        <f t="shared" si="153"/>
        <v>0</v>
      </c>
      <c r="AI116" s="4">
        <f t="shared" si="154"/>
        <v>0</v>
      </c>
      <c r="AJ116" s="4">
        <f t="shared" si="155"/>
        <v>0</v>
      </c>
      <c r="AK116" s="4">
        <f t="shared" si="156"/>
        <v>0</v>
      </c>
      <c r="AM116" s="4">
        <f t="shared" si="157"/>
        <v>0</v>
      </c>
      <c r="AN116" s="4">
        <f t="shared" si="158"/>
        <v>0</v>
      </c>
      <c r="AO116" s="4">
        <f t="shared" si="159"/>
        <v>0</v>
      </c>
      <c r="AP116" s="4">
        <f t="shared" si="160"/>
        <v>0</v>
      </c>
      <c r="AQ116" s="4">
        <f t="shared" si="161"/>
        <v>0</v>
      </c>
      <c r="AR116" s="4">
        <f t="shared" si="162"/>
        <v>0</v>
      </c>
      <c r="AS116" s="4">
        <f t="shared" si="163"/>
        <v>0</v>
      </c>
      <c r="AT116" s="4">
        <f t="shared" si="164"/>
        <v>0</v>
      </c>
      <c r="AU116" s="4">
        <f t="shared" si="165"/>
        <v>0</v>
      </c>
    </row>
    <row r="117" spans="2:49" x14ac:dyDescent="0.25">
      <c r="B117" s="18">
        <v>45851</v>
      </c>
      <c r="C117" s="22">
        <v>0.625</v>
      </c>
      <c r="D117" s="30" t="s">
        <v>59</v>
      </c>
      <c r="E117" s="37"/>
      <c r="F117" s="11" t="s">
        <v>7</v>
      </c>
      <c r="G117" s="38"/>
      <c r="H117" s="26" t="s">
        <v>52</v>
      </c>
      <c r="I117" s="37"/>
      <c r="J117" s="11" t="s">
        <v>7</v>
      </c>
      <c r="K117" s="38"/>
      <c r="L117" s="37"/>
      <c r="M117" s="11" t="s">
        <v>7</v>
      </c>
      <c r="N117" s="38"/>
      <c r="O117" s="37"/>
      <c r="P117" s="11" t="s">
        <v>7</v>
      </c>
      <c r="Q117" s="38"/>
      <c r="R117" s="37"/>
      <c r="S117" s="11" t="s">
        <v>7</v>
      </c>
      <c r="T117" s="38"/>
      <c r="U117" s="37"/>
      <c r="V117" s="11" t="s">
        <v>7</v>
      </c>
      <c r="W117" s="38"/>
      <c r="X117" s="12">
        <f t="shared" si="166"/>
        <v>0</v>
      </c>
      <c r="Y117" s="13" t="s">
        <v>7</v>
      </c>
      <c r="Z117" s="14">
        <f t="shared" si="167"/>
        <v>0</v>
      </c>
      <c r="AB117" s="4">
        <f t="shared" si="147"/>
        <v>0</v>
      </c>
      <c r="AC117" s="4">
        <f t="shared" si="148"/>
        <v>0</v>
      </c>
      <c r="AD117" s="4">
        <f t="shared" si="149"/>
        <v>0</v>
      </c>
      <c r="AE117" s="4">
        <f t="shared" si="150"/>
        <v>0</v>
      </c>
      <c r="AF117" s="4">
        <f t="shared" si="151"/>
        <v>0</v>
      </c>
      <c r="AG117" s="4">
        <f t="shared" si="152"/>
        <v>0</v>
      </c>
      <c r="AH117" s="4">
        <f t="shared" si="153"/>
        <v>0</v>
      </c>
      <c r="AI117" s="4">
        <f t="shared" si="154"/>
        <v>0</v>
      </c>
      <c r="AJ117" s="4">
        <f t="shared" si="155"/>
        <v>0</v>
      </c>
      <c r="AK117" s="4">
        <f t="shared" si="156"/>
        <v>0</v>
      </c>
      <c r="AM117" s="4">
        <f t="shared" si="157"/>
        <v>0</v>
      </c>
      <c r="AN117" s="4">
        <f t="shared" si="158"/>
        <v>0</v>
      </c>
      <c r="AO117" s="4">
        <f t="shared" si="159"/>
        <v>0</v>
      </c>
      <c r="AP117" s="4">
        <f t="shared" si="160"/>
        <v>0</v>
      </c>
      <c r="AQ117" s="4">
        <f t="shared" si="161"/>
        <v>0</v>
      </c>
      <c r="AR117" s="4">
        <f t="shared" si="162"/>
        <v>0</v>
      </c>
      <c r="AS117" s="4">
        <f t="shared" si="163"/>
        <v>0</v>
      </c>
      <c r="AT117" s="4">
        <f t="shared" si="164"/>
        <v>0</v>
      </c>
      <c r="AU117" s="4">
        <f t="shared" si="165"/>
        <v>0</v>
      </c>
    </row>
    <row r="118" spans="2:49" x14ac:dyDescent="0.25">
      <c r="B118" s="18">
        <v>45851</v>
      </c>
      <c r="C118" s="22">
        <v>0.79166666666666663</v>
      </c>
      <c r="D118" s="30" t="s">
        <v>54</v>
      </c>
      <c r="E118" s="37"/>
      <c r="F118" s="11" t="s">
        <v>7</v>
      </c>
      <c r="G118" s="38"/>
      <c r="H118" s="26" t="s">
        <v>56</v>
      </c>
      <c r="I118" s="37"/>
      <c r="J118" s="11" t="s">
        <v>7</v>
      </c>
      <c r="K118" s="38"/>
      <c r="L118" s="37"/>
      <c r="M118" s="11" t="s">
        <v>7</v>
      </c>
      <c r="N118" s="38"/>
      <c r="O118" s="37"/>
      <c r="P118" s="11" t="s">
        <v>7</v>
      </c>
      <c r="Q118" s="38"/>
      <c r="R118" s="37"/>
      <c r="S118" s="11" t="s">
        <v>7</v>
      </c>
      <c r="T118" s="38"/>
      <c r="U118" s="37"/>
      <c r="V118" s="11" t="s">
        <v>7</v>
      </c>
      <c r="W118" s="38"/>
      <c r="X118" s="12">
        <f t="shared" si="166"/>
        <v>0</v>
      </c>
      <c r="Y118" s="13" t="s">
        <v>7</v>
      </c>
      <c r="Z118" s="14">
        <f t="shared" si="167"/>
        <v>0</v>
      </c>
      <c r="AB118" s="4">
        <f t="shared" si="147"/>
        <v>0</v>
      </c>
      <c r="AC118" s="4">
        <f t="shared" si="148"/>
        <v>0</v>
      </c>
      <c r="AD118" s="4">
        <f t="shared" si="149"/>
        <v>0</v>
      </c>
      <c r="AE118" s="4">
        <f t="shared" si="150"/>
        <v>0</v>
      </c>
      <c r="AF118" s="4">
        <f t="shared" si="151"/>
        <v>0</v>
      </c>
      <c r="AG118" s="4">
        <f t="shared" si="152"/>
        <v>0</v>
      </c>
      <c r="AH118" s="4">
        <f t="shared" si="153"/>
        <v>0</v>
      </c>
      <c r="AI118" s="4">
        <f t="shared" si="154"/>
        <v>0</v>
      </c>
      <c r="AJ118" s="4">
        <f t="shared" si="155"/>
        <v>0</v>
      </c>
      <c r="AK118" s="4">
        <f t="shared" si="156"/>
        <v>0</v>
      </c>
      <c r="AM118" s="4">
        <f t="shared" si="157"/>
        <v>0</v>
      </c>
      <c r="AN118" s="4">
        <f t="shared" si="158"/>
        <v>0</v>
      </c>
      <c r="AO118" s="4">
        <f t="shared" si="159"/>
        <v>0</v>
      </c>
      <c r="AP118" s="4">
        <f t="shared" si="160"/>
        <v>0</v>
      </c>
      <c r="AQ118" s="4">
        <f t="shared" si="161"/>
        <v>0</v>
      </c>
      <c r="AR118" s="4">
        <f t="shared" si="162"/>
        <v>0</v>
      </c>
      <c r="AS118" s="4">
        <f t="shared" si="163"/>
        <v>0</v>
      </c>
      <c r="AT118" s="4">
        <f t="shared" si="164"/>
        <v>0</v>
      </c>
      <c r="AU118" s="4">
        <f t="shared" si="165"/>
        <v>0</v>
      </c>
    </row>
    <row r="119" spans="2:49" ht="14.25" x14ac:dyDescent="0.25">
      <c r="B119" s="66" t="s">
        <v>75</v>
      </c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spans="2:49" x14ac:dyDescent="0.25">
      <c r="B120" s="16" t="s">
        <v>2</v>
      </c>
      <c r="C120" s="20" t="s">
        <v>3</v>
      </c>
      <c r="D120" s="28"/>
      <c r="E120" s="67" t="s">
        <v>4</v>
      </c>
      <c r="F120" s="67"/>
      <c r="G120" s="67"/>
      <c r="H120" s="24"/>
      <c r="I120" s="68" t="s">
        <v>5</v>
      </c>
      <c r="J120" s="68"/>
      <c r="K120" s="68"/>
      <c r="L120" s="68" t="s">
        <v>6</v>
      </c>
      <c r="M120" s="68"/>
      <c r="N120" s="68"/>
      <c r="O120" s="68" t="s">
        <v>8</v>
      </c>
      <c r="P120" s="68"/>
      <c r="Q120" s="68"/>
      <c r="R120" s="68" t="s">
        <v>9</v>
      </c>
      <c r="S120" s="68"/>
      <c r="T120" s="68"/>
      <c r="U120" s="68" t="s">
        <v>10</v>
      </c>
      <c r="V120" s="68"/>
      <c r="W120" s="68"/>
      <c r="X120" s="68" t="s">
        <v>11</v>
      </c>
      <c r="Y120" s="68"/>
      <c r="Z120" s="68"/>
      <c r="AB120" s="4" t="s">
        <v>39</v>
      </c>
      <c r="AC120" s="4" t="s">
        <v>24</v>
      </c>
      <c r="AD120" s="4" t="s">
        <v>21</v>
      </c>
      <c r="AE120" s="4" t="s">
        <v>19</v>
      </c>
      <c r="AF120" s="4" t="s">
        <v>20</v>
      </c>
      <c r="AG120" s="4" t="s">
        <v>16</v>
      </c>
      <c r="AH120" s="8" t="s">
        <v>18</v>
      </c>
      <c r="AI120" s="8" t="s">
        <v>17</v>
      </c>
      <c r="AJ120" s="4" t="s">
        <v>22</v>
      </c>
      <c r="AK120" s="4" t="s">
        <v>23</v>
      </c>
      <c r="AM120" s="4" t="s">
        <v>25</v>
      </c>
      <c r="AN120" s="4" t="s">
        <v>26</v>
      </c>
      <c r="AO120" s="4" t="s">
        <v>19</v>
      </c>
      <c r="AP120" s="4" t="s">
        <v>20</v>
      </c>
      <c r="AQ120" s="8" t="s">
        <v>35</v>
      </c>
      <c r="AR120" s="8" t="s">
        <v>36</v>
      </c>
      <c r="AS120" s="8" t="s">
        <v>37</v>
      </c>
      <c r="AT120" s="4" t="s">
        <v>22</v>
      </c>
      <c r="AU120" s="4" t="s">
        <v>23</v>
      </c>
    </row>
    <row r="121" spans="2:49" x14ac:dyDescent="0.25">
      <c r="B121" s="17">
        <v>45847</v>
      </c>
      <c r="C121" s="21">
        <v>0.5</v>
      </c>
      <c r="D121" s="29" t="s">
        <v>51</v>
      </c>
      <c r="E121" s="37"/>
      <c r="F121" s="11" t="s">
        <v>7</v>
      </c>
      <c r="G121" s="38"/>
      <c r="H121" s="25" t="s">
        <v>50</v>
      </c>
      <c r="I121" s="37"/>
      <c r="J121" s="11" t="s">
        <v>7</v>
      </c>
      <c r="K121" s="38"/>
      <c r="L121" s="37"/>
      <c r="M121" s="11" t="s">
        <v>7</v>
      </c>
      <c r="N121" s="38"/>
      <c r="O121" s="37"/>
      <c r="P121" s="11" t="s">
        <v>7</v>
      </c>
      <c r="Q121" s="38"/>
      <c r="R121" s="37"/>
      <c r="S121" s="11" t="s">
        <v>7</v>
      </c>
      <c r="T121" s="38"/>
      <c r="U121" s="37"/>
      <c r="V121" s="11" t="s">
        <v>7</v>
      </c>
      <c r="W121" s="38"/>
      <c r="X121" s="12">
        <f>SUM(I121,L121,O121,R121,U121)</f>
        <v>0</v>
      </c>
      <c r="Y121" s="13" t="s">
        <v>7</v>
      </c>
      <c r="Z121" s="14">
        <f>SUM(K121,N121,Q121,T121,W121)</f>
        <v>0</v>
      </c>
      <c r="AB121" s="4">
        <f t="shared" ref="AB121:AB132" si="168">AE121+AF121</f>
        <v>0</v>
      </c>
      <c r="AC121" s="4">
        <f t="shared" ref="AC121:AC132" si="169">IF(OR(E121="",G121=""),0,IF(E121&gt;G121,D121,H121))</f>
        <v>0</v>
      </c>
      <c r="AD121" s="4">
        <f t="shared" ref="AD121:AD132" si="170">IF(OR(E121="",G121=""),0,1)</f>
        <v>0</v>
      </c>
      <c r="AE121" s="4">
        <f t="shared" ref="AE121:AE132" si="171">IF(OR(E121="",G121=""),0,IF(E121&gt;G121,E121,G121))</f>
        <v>0</v>
      </c>
      <c r="AF121" s="4">
        <f t="shared" ref="AF121:AF132" si="172">IF(OR(E121="",G121=""),0,IF(E121&gt;G121,G121,E121))</f>
        <v>0</v>
      </c>
      <c r="AG121" s="4">
        <f t="shared" ref="AG121:AG132" si="173">IF(AND(AE121=3,AF121=0),1,0)</f>
        <v>0</v>
      </c>
      <c r="AH121" s="4">
        <f t="shared" ref="AH121:AH132" si="174">IF(AND(AE121=3,AF121=1),1,0)</f>
        <v>0</v>
      </c>
      <c r="AI121" s="4">
        <f t="shared" ref="AI121:AI132" si="175">IF(AND(AE121=3,AF121=2),1,0)</f>
        <v>0</v>
      </c>
      <c r="AJ121" s="4">
        <f t="shared" ref="AJ121:AJ132" si="176">IF(E121&gt;G121,SUM(I121,L121,O121,R121,U121,),SUM(K121,N121,Q121,T121,W121))</f>
        <v>0</v>
      </c>
      <c r="AK121" s="4">
        <f t="shared" ref="AK121:AK132" si="177">IF(E121&gt;G121,SUM(K121,N121,Q121,T121,W121),SUM(I121,L121,O121,R121,U121))</f>
        <v>0</v>
      </c>
      <c r="AM121" s="4">
        <f t="shared" ref="AM121:AM132" si="178">IF(OR(E121="",G121=""),0,IF(E121&lt;G121,D121,H121))</f>
        <v>0</v>
      </c>
      <c r="AN121" s="4">
        <f t="shared" ref="AN121:AN132" si="179">IF(OR(E121="",G121=""),0,1)</f>
        <v>0</v>
      </c>
      <c r="AO121" s="4">
        <f t="shared" ref="AO121:AO132" si="180">IF(OR(E121="",G121=""),0,IF(E121&lt;G121,E121,G121))</f>
        <v>0</v>
      </c>
      <c r="AP121" s="4">
        <f t="shared" ref="AP121:AP132" si="181">IF(OR(E121="",G121=""),0,IF(E121&lt;G121,G121,E121))</f>
        <v>0</v>
      </c>
      <c r="AQ121" s="4">
        <f t="shared" ref="AQ121:AQ132" si="182">IF(AND(AO121=2,AP121=3),1,0)</f>
        <v>0</v>
      </c>
      <c r="AR121" s="4">
        <f t="shared" ref="AR121:AR132" si="183">IF(AND(AO121=1,AP121=3),1,0)</f>
        <v>0</v>
      </c>
      <c r="AS121" s="4">
        <f t="shared" ref="AS121:AS132" si="184">IF(AND(AO121=0,AP121=3),1,0)</f>
        <v>0</v>
      </c>
      <c r="AT121" s="4">
        <f t="shared" ref="AT121:AT132" si="185">IF(E121&lt;G121,SUM(I121,L121,O121,R121,U121,),SUM(K121,N121,Q121,T121,W121))</f>
        <v>0</v>
      </c>
      <c r="AU121" s="4">
        <f t="shared" ref="AU121:AU132" si="186">IF(E121&lt;G121,SUM(K121,N121,Q121,T121,W121),SUM(I121,L121,O121,R121,U121))</f>
        <v>0</v>
      </c>
    </row>
    <row r="122" spans="2:49" x14ac:dyDescent="0.25">
      <c r="B122" s="17">
        <v>45847</v>
      </c>
      <c r="C122" s="21">
        <v>0.64583333333333337</v>
      </c>
      <c r="D122" s="29" t="s">
        <v>55</v>
      </c>
      <c r="E122" s="37"/>
      <c r="F122" s="11" t="s">
        <v>7</v>
      </c>
      <c r="G122" s="38"/>
      <c r="H122" s="25" t="s">
        <v>41</v>
      </c>
      <c r="I122" s="37"/>
      <c r="J122" s="11" t="s">
        <v>7</v>
      </c>
      <c r="K122" s="38"/>
      <c r="L122" s="37"/>
      <c r="M122" s="11" t="s">
        <v>7</v>
      </c>
      <c r="N122" s="38"/>
      <c r="O122" s="37"/>
      <c r="P122" s="11" t="s">
        <v>7</v>
      </c>
      <c r="Q122" s="38"/>
      <c r="R122" s="37"/>
      <c r="S122" s="11" t="s">
        <v>7</v>
      </c>
      <c r="T122" s="38"/>
      <c r="U122" s="37"/>
      <c r="V122" s="11" t="s">
        <v>7</v>
      </c>
      <c r="W122" s="38"/>
      <c r="X122" s="12">
        <f t="shared" ref="X122:X132" si="187">SUM(I122,L122,O122,R122,U122)</f>
        <v>0</v>
      </c>
      <c r="Y122" s="13" t="s">
        <v>7</v>
      </c>
      <c r="Z122" s="14">
        <f t="shared" ref="Z122:Z132" si="188">SUM(K122,N122,Q122,T122,W122)</f>
        <v>0</v>
      </c>
      <c r="AB122" s="4">
        <f t="shared" si="168"/>
        <v>0</v>
      </c>
      <c r="AC122" s="4">
        <f t="shared" si="169"/>
        <v>0</v>
      </c>
      <c r="AD122" s="4">
        <f t="shared" si="170"/>
        <v>0</v>
      </c>
      <c r="AE122" s="4">
        <f t="shared" si="171"/>
        <v>0</v>
      </c>
      <c r="AF122" s="4">
        <f t="shared" si="172"/>
        <v>0</v>
      </c>
      <c r="AG122" s="4">
        <f t="shared" si="173"/>
        <v>0</v>
      </c>
      <c r="AH122" s="4">
        <f t="shared" si="174"/>
        <v>0</v>
      </c>
      <c r="AI122" s="4">
        <f t="shared" si="175"/>
        <v>0</v>
      </c>
      <c r="AJ122" s="4">
        <f t="shared" si="176"/>
        <v>0</v>
      </c>
      <c r="AK122" s="4">
        <f t="shared" si="177"/>
        <v>0</v>
      </c>
      <c r="AM122" s="4">
        <f t="shared" si="178"/>
        <v>0</v>
      </c>
      <c r="AN122" s="4">
        <f t="shared" si="179"/>
        <v>0</v>
      </c>
      <c r="AO122" s="4">
        <f t="shared" si="180"/>
        <v>0</v>
      </c>
      <c r="AP122" s="4">
        <f t="shared" si="181"/>
        <v>0</v>
      </c>
      <c r="AQ122" s="4">
        <f t="shared" si="182"/>
        <v>0</v>
      </c>
      <c r="AR122" s="4">
        <f t="shared" si="183"/>
        <v>0</v>
      </c>
      <c r="AS122" s="4">
        <f t="shared" si="184"/>
        <v>0</v>
      </c>
      <c r="AT122" s="4">
        <f t="shared" si="185"/>
        <v>0</v>
      </c>
      <c r="AU122" s="4">
        <f t="shared" si="186"/>
        <v>0</v>
      </c>
    </row>
    <row r="123" spans="2:49" x14ac:dyDescent="0.25">
      <c r="B123" s="17">
        <v>45847</v>
      </c>
      <c r="C123" s="21">
        <v>0.80555555555555547</v>
      </c>
      <c r="D123" s="29" t="s">
        <v>42</v>
      </c>
      <c r="E123" s="37"/>
      <c r="F123" s="11" t="s">
        <v>7</v>
      </c>
      <c r="G123" s="38"/>
      <c r="H123" s="25" t="s">
        <v>30</v>
      </c>
      <c r="I123" s="37"/>
      <c r="J123" s="11" t="s">
        <v>7</v>
      </c>
      <c r="K123" s="38"/>
      <c r="L123" s="37"/>
      <c r="M123" s="11" t="s">
        <v>7</v>
      </c>
      <c r="N123" s="38"/>
      <c r="O123" s="37"/>
      <c r="P123" s="11" t="s">
        <v>7</v>
      </c>
      <c r="Q123" s="38"/>
      <c r="R123" s="37"/>
      <c r="S123" s="11" t="s">
        <v>7</v>
      </c>
      <c r="T123" s="38"/>
      <c r="U123" s="37"/>
      <c r="V123" s="11" t="s">
        <v>7</v>
      </c>
      <c r="W123" s="38"/>
      <c r="X123" s="12">
        <f t="shared" si="187"/>
        <v>0</v>
      </c>
      <c r="Y123" s="13" t="s">
        <v>7</v>
      </c>
      <c r="Z123" s="14">
        <f t="shared" si="188"/>
        <v>0</v>
      </c>
      <c r="AB123" s="4">
        <f t="shared" si="168"/>
        <v>0</v>
      </c>
      <c r="AC123" s="4">
        <f t="shared" si="169"/>
        <v>0</v>
      </c>
      <c r="AD123" s="4">
        <f t="shared" si="170"/>
        <v>0</v>
      </c>
      <c r="AE123" s="4">
        <f t="shared" si="171"/>
        <v>0</v>
      </c>
      <c r="AF123" s="4">
        <f t="shared" si="172"/>
        <v>0</v>
      </c>
      <c r="AG123" s="4">
        <f t="shared" si="173"/>
        <v>0</v>
      </c>
      <c r="AH123" s="4">
        <f t="shared" si="174"/>
        <v>0</v>
      </c>
      <c r="AI123" s="4">
        <f t="shared" si="175"/>
        <v>0</v>
      </c>
      <c r="AJ123" s="4">
        <f t="shared" si="176"/>
        <v>0</v>
      </c>
      <c r="AK123" s="4">
        <f t="shared" si="177"/>
        <v>0</v>
      </c>
      <c r="AM123" s="4">
        <f t="shared" si="178"/>
        <v>0</v>
      </c>
      <c r="AN123" s="4">
        <f t="shared" si="179"/>
        <v>0</v>
      </c>
      <c r="AO123" s="4">
        <f t="shared" si="180"/>
        <v>0</v>
      </c>
      <c r="AP123" s="4">
        <f t="shared" si="181"/>
        <v>0</v>
      </c>
      <c r="AQ123" s="4">
        <f t="shared" si="182"/>
        <v>0</v>
      </c>
      <c r="AR123" s="4">
        <f t="shared" si="183"/>
        <v>0</v>
      </c>
      <c r="AS123" s="4">
        <f t="shared" si="184"/>
        <v>0</v>
      </c>
      <c r="AT123" s="4">
        <f t="shared" si="185"/>
        <v>0</v>
      </c>
      <c r="AU123" s="4">
        <f t="shared" si="186"/>
        <v>0</v>
      </c>
    </row>
    <row r="124" spans="2:49" x14ac:dyDescent="0.25">
      <c r="B124" s="17">
        <v>45848</v>
      </c>
      <c r="C124" s="21">
        <v>0.64583333333333337</v>
      </c>
      <c r="D124" s="29" t="s">
        <v>42</v>
      </c>
      <c r="E124" s="37"/>
      <c r="F124" s="11" t="s">
        <v>7</v>
      </c>
      <c r="G124" s="38"/>
      <c r="H124" s="25" t="s">
        <v>50</v>
      </c>
      <c r="I124" s="37"/>
      <c r="J124" s="11" t="s">
        <v>7</v>
      </c>
      <c r="K124" s="38"/>
      <c r="L124" s="37"/>
      <c r="M124" s="11" t="s">
        <v>7</v>
      </c>
      <c r="N124" s="38"/>
      <c r="O124" s="37"/>
      <c r="P124" s="11" t="s">
        <v>7</v>
      </c>
      <c r="Q124" s="38"/>
      <c r="R124" s="37"/>
      <c r="S124" s="11" t="s">
        <v>7</v>
      </c>
      <c r="T124" s="38"/>
      <c r="U124" s="37"/>
      <c r="V124" s="11" t="s">
        <v>7</v>
      </c>
      <c r="W124" s="38"/>
      <c r="X124" s="12">
        <f t="shared" si="187"/>
        <v>0</v>
      </c>
      <c r="Y124" s="13" t="s">
        <v>7</v>
      </c>
      <c r="Z124" s="14">
        <f t="shared" si="188"/>
        <v>0</v>
      </c>
      <c r="AB124" s="4">
        <f t="shared" si="168"/>
        <v>0</v>
      </c>
      <c r="AC124" s="4">
        <f t="shared" si="169"/>
        <v>0</v>
      </c>
      <c r="AD124" s="4">
        <f t="shared" si="170"/>
        <v>0</v>
      </c>
      <c r="AE124" s="4">
        <f t="shared" si="171"/>
        <v>0</v>
      </c>
      <c r="AF124" s="4">
        <f t="shared" si="172"/>
        <v>0</v>
      </c>
      <c r="AG124" s="4">
        <f t="shared" si="173"/>
        <v>0</v>
      </c>
      <c r="AH124" s="4">
        <f t="shared" si="174"/>
        <v>0</v>
      </c>
      <c r="AI124" s="4">
        <f t="shared" si="175"/>
        <v>0</v>
      </c>
      <c r="AJ124" s="4">
        <f t="shared" si="176"/>
        <v>0</v>
      </c>
      <c r="AK124" s="4">
        <f t="shared" si="177"/>
        <v>0</v>
      </c>
      <c r="AM124" s="4">
        <f t="shared" si="178"/>
        <v>0</v>
      </c>
      <c r="AN124" s="4">
        <f t="shared" si="179"/>
        <v>0</v>
      </c>
      <c r="AO124" s="4">
        <f t="shared" si="180"/>
        <v>0</v>
      </c>
      <c r="AP124" s="4">
        <f t="shared" si="181"/>
        <v>0</v>
      </c>
      <c r="AQ124" s="4">
        <f t="shared" si="182"/>
        <v>0</v>
      </c>
      <c r="AR124" s="4">
        <f t="shared" si="183"/>
        <v>0</v>
      </c>
      <c r="AS124" s="4">
        <f t="shared" si="184"/>
        <v>0</v>
      </c>
      <c r="AT124" s="4">
        <f t="shared" si="185"/>
        <v>0</v>
      </c>
      <c r="AU124" s="4">
        <f t="shared" si="186"/>
        <v>0</v>
      </c>
    </row>
    <row r="125" spans="2:49" x14ac:dyDescent="0.25">
      <c r="B125" s="17">
        <v>45848</v>
      </c>
      <c r="C125" s="21">
        <v>0.8125</v>
      </c>
      <c r="D125" s="29" t="s">
        <v>55</v>
      </c>
      <c r="E125" s="37"/>
      <c r="F125" s="11" t="s">
        <v>7</v>
      </c>
      <c r="G125" s="38"/>
      <c r="H125" s="25" t="s">
        <v>30</v>
      </c>
      <c r="I125" s="37"/>
      <c r="J125" s="11" t="s">
        <v>7</v>
      </c>
      <c r="K125" s="38"/>
      <c r="L125" s="37"/>
      <c r="M125" s="11" t="s">
        <v>7</v>
      </c>
      <c r="N125" s="38"/>
      <c r="O125" s="37"/>
      <c r="P125" s="11" t="s">
        <v>7</v>
      </c>
      <c r="Q125" s="38"/>
      <c r="R125" s="37"/>
      <c r="S125" s="11" t="s">
        <v>7</v>
      </c>
      <c r="T125" s="38"/>
      <c r="U125" s="37"/>
      <c r="V125" s="11" t="s">
        <v>7</v>
      </c>
      <c r="W125" s="38"/>
      <c r="X125" s="12">
        <f t="shared" si="187"/>
        <v>0</v>
      </c>
      <c r="Y125" s="13" t="s">
        <v>7</v>
      </c>
      <c r="Z125" s="14">
        <f t="shared" si="188"/>
        <v>0</v>
      </c>
      <c r="AB125" s="4">
        <f t="shared" si="168"/>
        <v>0</v>
      </c>
      <c r="AC125" s="4">
        <f t="shared" si="169"/>
        <v>0</v>
      </c>
      <c r="AD125" s="4">
        <f t="shared" si="170"/>
        <v>0</v>
      </c>
      <c r="AE125" s="4">
        <f t="shared" si="171"/>
        <v>0</v>
      </c>
      <c r="AF125" s="4">
        <f t="shared" si="172"/>
        <v>0</v>
      </c>
      <c r="AG125" s="4">
        <f t="shared" si="173"/>
        <v>0</v>
      </c>
      <c r="AH125" s="4">
        <f t="shared" si="174"/>
        <v>0</v>
      </c>
      <c r="AI125" s="4">
        <f t="shared" si="175"/>
        <v>0</v>
      </c>
      <c r="AJ125" s="4">
        <f t="shared" si="176"/>
        <v>0</v>
      </c>
      <c r="AK125" s="4">
        <f t="shared" si="177"/>
        <v>0</v>
      </c>
      <c r="AM125" s="4">
        <f t="shared" si="178"/>
        <v>0</v>
      </c>
      <c r="AN125" s="4">
        <f t="shared" si="179"/>
        <v>0</v>
      </c>
      <c r="AO125" s="4">
        <f t="shared" si="180"/>
        <v>0</v>
      </c>
      <c r="AP125" s="4">
        <f t="shared" si="181"/>
        <v>0</v>
      </c>
      <c r="AQ125" s="4">
        <f t="shared" si="182"/>
        <v>0</v>
      </c>
      <c r="AR125" s="4">
        <f t="shared" si="183"/>
        <v>0</v>
      </c>
      <c r="AS125" s="4">
        <f t="shared" si="184"/>
        <v>0</v>
      </c>
      <c r="AT125" s="4">
        <f t="shared" si="185"/>
        <v>0</v>
      </c>
      <c r="AU125" s="4">
        <f t="shared" si="186"/>
        <v>0</v>
      </c>
    </row>
    <row r="126" spans="2:49" x14ac:dyDescent="0.25">
      <c r="B126" s="17">
        <v>45849</v>
      </c>
      <c r="C126" s="21">
        <v>0.64583333333333337</v>
      </c>
      <c r="D126" s="29" t="s">
        <v>51</v>
      </c>
      <c r="E126" s="37"/>
      <c r="F126" s="11" t="s">
        <v>7</v>
      </c>
      <c r="G126" s="38"/>
      <c r="H126" s="25" t="s">
        <v>42</v>
      </c>
      <c r="I126" s="37"/>
      <c r="J126" s="11" t="s">
        <v>7</v>
      </c>
      <c r="K126" s="38"/>
      <c r="L126" s="37"/>
      <c r="M126" s="11" t="s">
        <v>7</v>
      </c>
      <c r="N126" s="38"/>
      <c r="O126" s="37"/>
      <c r="P126" s="11" t="s">
        <v>7</v>
      </c>
      <c r="Q126" s="38"/>
      <c r="R126" s="37"/>
      <c r="S126" s="11" t="s">
        <v>7</v>
      </c>
      <c r="T126" s="38"/>
      <c r="U126" s="37"/>
      <c r="V126" s="11" t="s">
        <v>7</v>
      </c>
      <c r="W126" s="38"/>
      <c r="X126" s="12">
        <f t="shared" si="187"/>
        <v>0</v>
      </c>
      <c r="Y126" s="13" t="s">
        <v>7</v>
      </c>
      <c r="Z126" s="14">
        <f t="shared" si="188"/>
        <v>0</v>
      </c>
      <c r="AB126" s="4">
        <f t="shared" si="168"/>
        <v>0</v>
      </c>
      <c r="AC126" s="4">
        <f t="shared" si="169"/>
        <v>0</v>
      </c>
      <c r="AD126" s="4">
        <f t="shared" si="170"/>
        <v>0</v>
      </c>
      <c r="AE126" s="4">
        <f t="shared" si="171"/>
        <v>0</v>
      </c>
      <c r="AF126" s="4">
        <f t="shared" si="172"/>
        <v>0</v>
      </c>
      <c r="AG126" s="4">
        <f t="shared" si="173"/>
        <v>0</v>
      </c>
      <c r="AH126" s="4">
        <f t="shared" si="174"/>
        <v>0</v>
      </c>
      <c r="AI126" s="4">
        <f t="shared" si="175"/>
        <v>0</v>
      </c>
      <c r="AJ126" s="4">
        <f t="shared" si="176"/>
        <v>0</v>
      </c>
      <c r="AK126" s="4">
        <f t="shared" si="177"/>
        <v>0</v>
      </c>
      <c r="AM126" s="4">
        <f t="shared" si="178"/>
        <v>0</v>
      </c>
      <c r="AN126" s="4">
        <f t="shared" si="179"/>
        <v>0</v>
      </c>
      <c r="AO126" s="4">
        <f t="shared" si="180"/>
        <v>0</v>
      </c>
      <c r="AP126" s="4">
        <f t="shared" si="181"/>
        <v>0</v>
      </c>
      <c r="AQ126" s="4">
        <f t="shared" si="182"/>
        <v>0</v>
      </c>
      <c r="AR126" s="4">
        <f t="shared" si="183"/>
        <v>0</v>
      </c>
      <c r="AS126" s="4">
        <f t="shared" si="184"/>
        <v>0</v>
      </c>
      <c r="AT126" s="4">
        <f t="shared" si="185"/>
        <v>0</v>
      </c>
      <c r="AU126" s="4">
        <f t="shared" si="186"/>
        <v>0</v>
      </c>
    </row>
    <row r="127" spans="2:49" x14ac:dyDescent="0.25">
      <c r="B127" s="17">
        <v>45849</v>
      </c>
      <c r="C127" s="21">
        <v>0.80555555555555547</v>
      </c>
      <c r="D127" s="29" t="s">
        <v>41</v>
      </c>
      <c r="E127" s="37"/>
      <c r="F127" s="11" t="s">
        <v>7</v>
      </c>
      <c r="G127" s="38"/>
      <c r="H127" s="25" t="s">
        <v>50</v>
      </c>
      <c r="I127" s="37"/>
      <c r="J127" s="11" t="s">
        <v>7</v>
      </c>
      <c r="K127" s="38"/>
      <c r="L127" s="37"/>
      <c r="M127" s="11" t="s">
        <v>7</v>
      </c>
      <c r="N127" s="38"/>
      <c r="O127" s="37"/>
      <c r="P127" s="11" t="s">
        <v>7</v>
      </c>
      <c r="Q127" s="38"/>
      <c r="R127" s="37"/>
      <c r="S127" s="11" t="s">
        <v>7</v>
      </c>
      <c r="T127" s="38"/>
      <c r="U127" s="37"/>
      <c r="V127" s="11" t="s">
        <v>7</v>
      </c>
      <c r="W127" s="38"/>
      <c r="X127" s="12">
        <f t="shared" si="187"/>
        <v>0</v>
      </c>
      <c r="Y127" s="13" t="s">
        <v>7</v>
      </c>
      <c r="Z127" s="14">
        <f t="shared" si="188"/>
        <v>0</v>
      </c>
      <c r="AB127" s="4">
        <f t="shared" si="168"/>
        <v>0</v>
      </c>
      <c r="AC127" s="4">
        <f t="shared" si="169"/>
        <v>0</v>
      </c>
      <c r="AD127" s="4">
        <f t="shared" si="170"/>
        <v>0</v>
      </c>
      <c r="AE127" s="4">
        <f t="shared" si="171"/>
        <v>0</v>
      </c>
      <c r="AF127" s="4">
        <f t="shared" si="172"/>
        <v>0</v>
      </c>
      <c r="AG127" s="4">
        <f t="shared" si="173"/>
        <v>0</v>
      </c>
      <c r="AH127" s="4">
        <f t="shared" si="174"/>
        <v>0</v>
      </c>
      <c r="AI127" s="4">
        <f t="shared" si="175"/>
        <v>0</v>
      </c>
      <c r="AJ127" s="4">
        <f t="shared" si="176"/>
        <v>0</v>
      </c>
      <c r="AK127" s="4">
        <f t="shared" si="177"/>
        <v>0</v>
      </c>
      <c r="AM127" s="4">
        <f t="shared" si="178"/>
        <v>0</v>
      </c>
      <c r="AN127" s="4">
        <f t="shared" si="179"/>
        <v>0</v>
      </c>
      <c r="AO127" s="4">
        <f t="shared" si="180"/>
        <v>0</v>
      </c>
      <c r="AP127" s="4">
        <f t="shared" si="181"/>
        <v>0</v>
      </c>
      <c r="AQ127" s="4">
        <f t="shared" si="182"/>
        <v>0</v>
      </c>
      <c r="AR127" s="4">
        <f t="shared" si="183"/>
        <v>0</v>
      </c>
      <c r="AS127" s="4">
        <f t="shared" si="184"/>
        <v>0</v>
      </c>
      <c r="AT127" s="4">
        <f t="shared" si="185"/>
        <v>0</v>
      </c>
      <c r="AU127" s="4">
        <f t="shared" si="186"/>
        <v>0</v>
      </c>
    </row>
    <row r="128" spans="2:49" x14ac:dyDescent="0.25">
      <c r="B128" s="17">
        <v>45850</v>
      </c>
      <c r="C128" s="21">
        <v>0.64583333333333337</v>
      </c>
      <c r="D128" s="29" t="s">
        <v>55</v>
      </c>
      <c r="E128" s="37"/>
      <c r="F128" s="11" t="s">
        <v>7</v>
      </c>
      <c r="G128" s="38"/>
      <c r="H128" s="25" t="s">
        <v>51</v>
      </c>
      <c r="I128" s="37"/>
      <c r="J128" s="11" t="s">
        <v>7</v>
      </c>
      <c r="K128" s="38"/>
      <c r="L128" s="37"/>
      <c r="M128" s="11" t="s">
        <v>7</v>
      </c>
      <c r="N128" s="38"/>
      <c r="O128" s="37"/>
      <c r="P128" s="11" t="s">
        <v>7</v>
      </c>
      <c r="Q128" s="38"/>
      <c r="R128" s="37"/>
      <c r="S128" s="11" t="s">
        <v>7</v>
      </c>
      <c r="T128" s="38"/>
      <c r="U128" s="37"/>
      <c r="V128" s="11" t="s">
        <v>7</v>
      </c>
      <c r="W128" s="38"/>
      <c r="X128" s="12">
        <f t="shared" si="187"/>
        <v>0</v>
      </c>
      <c r="Y128" s="13" t="s">
        <v>7</v>
      </c>
      <c r="Z128" s="14">
        <f t="shared" si="188"/>
        <v>0</v>
      </c>
      <c r="AB128" s="4">
        <f t="shared" si="168"/>
        <v>0</v>
      </c>
      <c r="AC128" s="4">
        <f t="shared" si="169"/>
        <v>0</v>
      </c>
      <c r="AD128" s="4">
        <f t="shared" si="170"/>
        <v>0</v>
      </c>
      <c r="AE128" s="4">
        <f t="shared" si="171"/>
        <v>0</v>
      </c>
      <c r="AF128" s="4">
        <f t="shared" si="172"/>
        <v>0</v>
      </c>
      <c r="AG128" s="4">
        <f t="shared" si="173"/>
        <v>0</v>
      </c>
      <c r="AH128" s="4">
        <f t="shared" si="174"/>
        <v>0</v>
      </c>
      <c r="AI128" s="4">
        <f t="shared" si="175"/>
        <v>0</v>
      </c>
      <c r="AJ128" s="4">
        <f t="shared" si="176"/>
        <v>0</v>
      </c>
      <c r="AK128" s="4">
        <f t="shared" si="177"/>
        <v>0</v>
      </c>
      <c r="AM128" s="4">
        <f t="shared" si="178"/>
        <v>0</v>
      </c>
      <c r="AN128" s="4">
        <f t="shared" si="179"/>
        <v>0</v>
      </c>
      <c r="AO128" s="4">
        <f t="shared" si="180"/>
        <v>0</v>
      </c>
      <c r="AP128" s="4">
        <f t="shared" si="181"/>
        <v>0</v>
      </c>
      <c r="AQ128" s="4">
        <f t="shared" si="182"/>
        <v>0</v>
      </c>
      <c r="AR128" s="4">
        <f t="shared" si="183"/>
        <v>0</v>
      </c>
      <c r="AS128" s="4">
        <f t="shared" si="184"/>
        <v>0</v>
      </c>
      <c r="AT128" s="4">
        <f t="shared" si="185"/>
        <v>0</v>
      </c>
      <c r="AU128" s="4">
        <f t="shared" si="186"/>
        <v>0</v>
      </c>
    </row>
    <row r="129" spans="2:47" x14ac:dyDescent="0.25">
      <c r="B129" s="17">
        <v>45850</v>
      </c>
      <c r="C129" s="21">
        <v>0.80555555555555547</v>
      </c>
      <c r="D129" s="29" t="s">
        <v>30</v>
      </c>
      <c r="E129" s="37"/>
      <c r="F129" s="11" t="s">
        <v>7</v>
      </c>
      <c r="G129" s="38"/>
      <c r="H129" s="25" t="s">
        <v>41</v>
      </c>
      <c r="I129" s="37"/>
      <c r="J129" s="11" t="s">
        <v>7</v>
      </c>
      <c r="K129" s="38"/>
      <c r="L129" s="37"/>
      <c r="M129" s="11" t="s">
        <v>7</v>
      </c>
      <c r="N129" s="38"/>
      <c r="O129" s="37"/>
      <c r="P129" s="11" t="s">
        <v>7</v>
      </c>
      <c r="Q129" s="38"/>
      <c r="R129" s="37"/>
      <c r="S129" s="11" t="s">
        <v>7</v>
      </c>
      <c r="T129" s="38"/>
      <c r="U129" s="37"/>
      <c r="V129" s="11" t="s">
        <v>7</v>
      </c>
      <c r="W129" s="38"/>
      <c r="X129" s="12">
        <f t="shared" si="187"/>
        <v>0</v>
      </c>
      <c r="Y129" s="13" t="s">
        <v>7</v>
      </c>
      <c r="Z129" s="14">
        <f t="shared" si="188"/>
        <v>0</v>
      </c>
      <c r="AB129" s="4">
        <f t="shared" si="168"/>
        <v>0</v>
      </c>
      <c r="AC129" s="4">
        <f t="shared" si="169"/>
        <v>0</v>
      </c>
      <c r="AD129" s="4">
        <f t="shared" si="170"/>
        <v>0</v>
      </c>
      <c r="AE129" s="4">
        <f t="shared" si="171"/>
        <v>0</v>
      </c>
      <c r="AF129" s="4">
        <f t="shared" si="172"/>
        <v>0</v>
      </c>
      <c r="AG129" s="4">
        <f t="shared" si="173"/>
        <v>0</v>
      </c>
      <c r="AH129" s="4">
        <f t="shared" si="174"/>
        <v>0</v>
      </c>
      <c r="AI129" s="4">
        <f t="shared" si="175"/>
        <v>0</v>
      </c>
      <c r="AJ129" s="4">
        <f t="shared" si="176"/>
        <v>0</v>
      </c>
      <c r="AK129" s="4">
        <f t="shared" si="177"/>
        <v>0</v>
      </c>
      <c r="AM129" s="4">
        <f t="shared" si="178"/>
        <v>0</v>
      </c>
      <c r="AN129" s="4">
        <f t="shared" si="179"/>
        <v>0</v>
      </c>
      <c r="AO129" s="4">
        <f t="shared" si="180"/>
        <v>0</v>
      </c>
      <c r="AP129" s="4">
        <f t="shared" si="181"/>
        <v>0</v>
      </c>
      <c r="AQ129" s="4">
        <f t="shared" si="182"/>
        <v>0</v>
      </c>
      <c r="AR129" s="4">
        <f t="shared" si="183"/>
        <v>0</v>
      </c>
      <c r="AS129" s="4">
        <f t="shared" si="184"/>
        <v>0</v>
      </c>
      <c r="AT129" s="4">
        <f t="shared" si="185"/>
        <v>0</v>
      </c>
      <c r="AU129" s="4">
        <f t="shared" si="186"/>
        <v>0</v>
      </c>
    </row>
    <row r="130" spans="2:47" x14ac:dyDescent="0.25">
      <c r="B130" s="17">
        <v>45851</v>
      </c>
      <c r="C130" s="21">
        <v>0.45833333333333331</v>
      </c>
      <c r="D130" s="29" t="s">
        <v>55</v>
      </c>
      <c r="E130" s="37"/>
      <c r="F130" s="11" t="s">
        <v>7</v>
      </c>
      <c r="G130" s="38"/>
      <c r="H130" s="25" t="s">
        <v>42</v>
      </c>
      <c r="I130" s="37"/>
      <c r="J130" s="11" t="s">
        <v>7</v>
      </c>
      <c r="K130" s="38"/>
      <c r="L130" s="37"/>
      <c r="M130" s="11" t="s">
        <v>7</v>
      </c>
      <c r="N130" s="38"/>
      <c r="O130" s="37"/>
      <c r="P130" s="11" t="s">
        <v>7</v>
      </c>
      <c r="Q130" s="38"/>
      <c r="R130" s="37"/>
      <c r="S130" s="11" t="s">
        <v>7</v>
      </c>
      <c r="T130" s="38"/>
      <c r="U130" s="37"/>
      <c r="V130" s="11" t="s">
        <v>7</v>
      </c>
      <c r="W130" s="38"/>
      <c r="X130" s="12">
        <f t="shared" si="187"/>
        <v>0</v>
      </c>
      <c r="Y130" s="13" t="s">
        <v>7</v>
      </c>
      <c r="Z130" s="14">
        <f t="shared" si="188"/>
        <v>0</v>
      </c>
      <c r="AB130" s="4">
        <f t="shared" si="168"/>
        <v>0</v>
      </c>
      <c r="AC130" s="4">
        <f t="shared" si="169"/>
        <v>0</v>
      </c>
      <c r="AD130" s="4">
        <f t="shared" si="170"/>
        <v>0</v>
      </c>
      <c r="AE130" s="4">
        <f t="shared" si="171"/>
        <v>0</v>
      </c>
      <c r="AF130" s="4">
        <f t="shared" si="172"/>
        <v>0</v>
      </c>
      <c r="AG130" s="4">
        <f t="shared" si="173"/>
        <v>0</v>
      </c>
      <c r="AH130" s="4">
        <f t="shared" si="174"/>
        <v>0</v>
      </c>
      <c r="AI130" s="4">
        <f t="shared" si="175"/>
        <v>0</v>
      </c>
      <c r="AJ130" s="4">
        <f t="shared" si="176"/>
        <v>0</v>
      </c>
      <c r="AK130" s="4">
        <f t="shared" si="177"/>
        <v>0</v>
      </c>
      <c r="AM130" s="4">
        <f t="shared" si="178"/>
        <v>0</v>
      </c>
      <c r="AN130" s="4">
        <f t="shared" si="179"/>
        <v>0</v>
      </c>
      <c r="AO130" s="4">
        <f t="shared" si="180"/>
        <v>0</v>
      </c>
      <c r="AP130" s="4">
        <f t="shared" si="181"/>
        <v>0</v>
      </c>
      <c r="AQ130" s="4">
        <f t="shared" si="182"/>
        <v>0</v>
      </c>
      <c r="AR130" s="4">
        <f t="shared" si="183"/>
        <v>0</v>
      </c>
      <c r="AS130" s="4">
        <f t="shared" si="184"/>
        <v>0</v>
      </c>
      <c r="AT130" s="4">
        <f t="shared" si="185"/>
        <v>0</v>
      </c>
      <c r="AU130" s="4">
        <f t="shared" si="186"/>
        <v>0</v>
      </c>
    </row>
    <row r="131" spans="2:47" x14ac:dyDescent="0.25">
      <c r="B131" s="17">
        <v>45851</v>
      </c>
      <c r="C131" s="21">
        <v>0.60416666666666663</v>
      </c>
      <c r="D131" s="29" t="s">
        <v>51</v>
      </c>
      <c r="E131" s="37"/>
      <c r="F131" s="11" t="s">
        <v>7</v>
      </c>
      <c r="G131" s="38"/>
      <c r="H131" s="25" t="s">
        <v>41</v>
      </c>
      <c r="I131" s="37"/>
      <c r="J131" s="11" t="s">
        <v>7</v>
      </c>
      <c r="K131" s="38"/>
      <c r="L131" s="37"/>
      <c r="M131" s="11" t="s">
        <v>7</v>
      </c>
      <c r="N131" s="38"/>
      <c r="O131" s="37"/>
      <c r="P131" s="11" t="s">
        <v>7</v>
      </c>
      <c r="Q131" s="38"/>
      <c r="R131" s="37"/>
      <c r="S131" s="11" t="s">
        <v>7</v>
      </c>
      <c r="T131" s="38"/>
      <c r="U131" s="37"/>
      <c r="V131" s="11" t="s">
        <v>7</v>
      </c>
      <c r="W131" s="38"/>
      <c r="X131" s="12">
        <f t="shared" si="187"/>
        <v>0</v>
      </c>
      <c r="Y131" s="13" t="s">
        <v>7</v>
      </c>
      <c r="Z131" s="14">
        <f t="shared" si="188"/>
        <v>0</v>
      </c>
      <c r="AB131" s="4">
        <f t="shared" si="168"/>
        <v>0</v>
      </c>
      <c r="AC131" s="4">
        <f t="shared" si="169"/>
        <v>0</v>
      </c>
      <c r="AD131" s="4">
        <f t="shared" si="170"/>
        <v>0</v>
      </c>
      <c r="AE131" s="4">
        <f t="shared" si="171"/>
        <v>0</v>
      </c>
      <c r="AF131" s="4">
        <f t="shared" si="172"/>
        <v>0</v>
      </c>
      <c r="AG131" s="4">
        <f t="shared" si="173"/>
        <v>0</v>
      </c>
      <c r="AH131" s="4">
        <f t="shared" si="174"/>
        <v>0</v>
      </c>
      <c r="AI131" s="4">
        <f t="shared" si="175"/>
        <v>0</v>
      </c>
      <c r="AJ131" s="4">
        <f t="shared" si="176"/>
        <v>0</v>
      </c>
      <c r="AK131" s="4">
        <f t="shared" si="177"/>
        <v>0</v>
      </c>
      <c r="AM131" s="4">
        <f t="shared" si="178"/>
        <v>0</v>
      </c>
      <c r="AN131" s="4">
        <f t="shared" si="179"/>
        <v>0</v>
      </c>
      <c r="AO131" s="4">
        <f t="shared" si="180"/>
        <v>0</v>
      </c>
      <c r="AP131" s="4">
        <f t="shared" si="181"/>
        <v>0</v>
      </c>
      <c r="AQ131" s="4">
        <f t="shared" si="182"/>
        <v>0</v>
      </c>
      <c r="AR131" s="4">
        <f t="shared" si="183"/>
        <v>0</v>
      </c>
      <c r="AS131" s="4">
        <f t="shared" si="184"/>
        <v>0</v>
      </c>
      <c r="AT131" s="4">
        <f t="shared" si="185"/>
        <v>0</v>
      </c>
      <c r="AU131" s="4">
        <f t="shared" si="186"/>
        <v>0</v>
      </c>
    </row>
    <row r="132" spans="2:47" x14ac:dyDescent="0.25">
      <c r="B132" s="17">
        <v>45851</v>
      </c>
      <c r="C132" s="21">
        <v>0.78125</v>
      </c>
      <c r="D132" s="29" t="s">
        <v>30</v>
      </c>
      <c r="E132" s="37"/>
      <c r="F132" s="11" t="s">
        <v>7</v>
      </c>
      <c r="G132" s="38"/>
      <c r="H132" s="25" t="s">
        <v>50</v>
      </c>
      <c r="I132" s="37"/>
      <c r="J132" s="11" t="s">
        <v>7</v>
      </c>
      <c r="K132" s="38"/>
      <c r="L132" s="37"/>
      <c r="M132" s="11" t="s">
        <v>7</v>
      </c>
      <c r="N132" s="38"/>
      <c r="O132" s="37"/>
      <c r="P132" s="11" t="s">
        <v>7</v>
      </c>
      <c r="Q132" s="38"/>
      <c r="R132" s="37"/>
      <c r="S132" s="11" t="s">
        <v>7</v>
      </c>
      <c r="T132" s="38"/>
      <c r="U132" s="37"/>
      <c r="V132" s="11" t="s">
        <v>7</v>
      </c>
      <c r="W132" s="38"/>
      <c r="X132" s="12">
        <f t="shared" si="187"/>
        <v>0</v>
      </c>
      <c r="Y132" s="13" t="s">
        <v>7</v>
      </c>
      <c r="Z132" s="14">
        <f t="shared" si="188"/>
        <v>0</v>
      </c>
      <c r="AB132" s="4">
        <f t="shared" si="168"/>
        <v>0</v>
      </c>
      <c r="AC132" s="4">
        <f t="shared" si="169"/>
        <v>0</v>
      </c>
      <c r="AD132" s="4">
        <f t="shared" si="170"/>
        <v>0</v>
      </c>
      <c r="AE132" s="4">
        <f t="shared" si="171"/>
        <v>0</v>
      </c>
      <c r="AF132" s="4">
        <f t="shared" si="172"/>
        <v>0</v>
      </c>
      <c r="AG132" s="4">
        <f t="shared" si="173"/>
        <v>0</v>
      </c>
      <c r="AH132" s="4">
        <f t="shared" si="174"/>
        <v>0</v>
      </c>
      <c r="AI132" s="4">
        <f t="shared" si="175"/>
        <v>0</v>
      </c>
      <c r="AJ132" s="4">
        <f t="shared" si="176"/>
        <v>0</v>
      </c>
      <c r="AK132" s="4">
        <f t="shared" si="177"/>
        <v>0</v>
      </c>
      <c r="AM132" s="4">
        <f t="shared" si="178"/>
        <v>0</v>
      </c>
      <c r="AN132" s="4">
        <f t="shared" si="179"/>
        <v>0</v>
      </c>
      <c r="AO132" s="4">
        <f t="shared" si="180"/>
        <v>0</v>
      </c>
      <c r="AP132" s="4">
        <f t="shared" si="181"/>
        <v>0</v>
      </c>
      <c r="AQ132" s="4">
        <f t="shared" si="182"/>
        <v>0</v>
      </c>
      <c r="AR132" s="4">
        <f t="shared" si="183"/>
        <v>0</v>
      </c>
      <c r="AS132" s="4">
        <f t="shared" si="184"/>
        <v>0</v>
      </c>
      <c r="AT132" s="4">
        <f t="shared" si="185"/>
        <v>0</v>
      </c>
      <c r="AU132" s="4">
        <f t="shared" si="186"/>
        <v>0</v>
      </c>
    </row>
  </sheetData>
  <sheetProtection password="CC01" sheet="1" objects="1" scenarios="1" selectLockedCells="1"/>
  <mergeCells count="93">
    <mergeCell ref="R18:T18"/>
    <mergeCell ref="U18:W18"/>
    <mergeCell ref="X4:Z4"/>
    <mergeCell ref="B3:Z3"/>
    <mergeCell ref="B2:Z2"/>
    <mergeCell ref="B17:Z17"/>
    <mergeCell ref="I4:K4"/>
    <mergeCell ref="E4:G4"/>
    <mergeCell ref="L4:N4"/>
    <mergeCell ref="O4:Q4"/>
    <mergeCell ref="R4:T4"/>
    <mergeCell ref="U4:W4"/>
    <mergeCell ref="B75:Z75"/>
    <mergeCell ref="B46:Z46"/>
    <mergeCell ref="B47:Z47"/>
    <mergeCell ref="X18:Z18"/>
    <mergeCell ref="B31:Z31"/>
    <mergeCell ref="E32:G32"/>
    <mergeCell ref="I32:K32"/>
    <mergeCell ref="L32:N32"/>
    <mergeCell ref="O32:Q32"/>
    <mergeCell ref="R32:T32"/>
    <mergeCell ref="U32:W32"/>
    <mergeCell ref="X32:Z32"/>
    <mergeCell ref="E18:G18"/>
    <mergeCell ref="I18:K18"/>
    <mergeCell ref="L18:N18"/>
    <mergeCell ref="O18:Q18"/>
    <mergeCell ref="X48:Z48"/>
    <mergeCell ref="B61:Z61"/>
    <mergeCell ref="E62:G62"/>
    <mergeCell ref="I62:K62"/>
    <mergeCell ref="L62:N62"/>
    <mergeCell ref="O62:Q62"/>
    <mergeCell ref="R62:T62"/>
    <mergeCell ref="U62:W62"/>
    <mergeCell ref="X62:Z62"/>
    <mergeCell ref="E48:G48"/>
    <mergeCell ref="I48:K48"/>
    <mergeCell ref="L48:N48"/>
    <mergeCell ref="O48:Q48"/>
    <mergeCell ref="R48:T48"/>
    <mergeCell ref="U48:W48"/>
    <mergeCell ref="X76:Z76"/>
    <mergeCell ref="B90:Z90"/>
    <mergeCell ref="B91:Z91"/>
    <mergeCell ref="E92:G92"/>
    <mergeCell ref="I92:K92"/>
    <mergeCell ref="L92:N92"/>
    <mergeCell ref="O92:Q92"/>
    <mergeCell ref="R92:T92"/>
    <mergeCell ref="U92:W92"/>
    <mergeCell ref="X92:Z92"/>
    <mergeCell ref="E76:G76"/>
    <mergeCell ref="I76:K76"/>
    <mergeCell ref="L76:N76"/>
    <mergeCell ref="O76:Q76"/>
    <mergeCell ref="R76:T76"/>
    <mergeCell ref="U76:W76"/>
    <mergeCell ref="B105:Z105"/>
    <mergeCell ref="E106:G106"/>
    <mergeCell ref="I106:K106"/>
    <mergeCell ref="L106:N106"/>
    <mergeCell ref="O106:Q106"/>
    <mergeCell ref="R106:T106"/>
    <mergeCell ref="U106:W106"/>
    <mergeCell ref="X106:Z106"/>
    <mergeCell ref="B119:Z119"/>
    <mergeCell ref="E120:G120"/>
    <mergeCell ref="I120:K120"/>
    <mergeCell ref="L120:N120"/>
    <mergeCell ref="O120:Q120"/>
    <mergeCell ref="R120:T120"/>
    <mergeCell ref="U120:W120"/>
    <mergeCell ref="X120:Z120"/>
    <mergeCell ref="BK90:BM90"/>
    <mergeCell ref="AV23:AW23"/>
    <mergeCell ref="AV67:AW67"/>
    <mergeCell ref="AY2:BA2"/>
    <mergeCell ref="BB2:BG2"/>
    <mergeCell ref="BH2:BJ2"/>
    <mergeCell ref="BK2:BM2"/>
    <mergeCell ref="AV2:AX2"/>
    <mergeCell ref="AV46:AX46"/>
    <mergeCell ref="AY46:BA46"/>
    <mergeCell ref="BB46:BG46"/>
    <mergeCell ref="BH46:BJ46"/>
    <mergeCell ref="BK46:BM46"/>
    <mergeCell ref="AV111:AW111"/>
    <mergeCell ref="AV90:AX90"/>
    <mergeCell ref="AY90:BA90"/>
    <mergeCell ref="BB90:BG90"/>
    <mergeCell ref="BH90:BJ90"/>
  </mergeCells>
  <conditionalFormatting sqref="U5:W16">
    <cfRule type="expression" dxfId="78" priority="75">
      <formula>$AB5&lt;5</formula>
    </cfRule>
  </conditionalFormatting>
  <conditionalFormatting sqref="R5:T16">
    <cfRule type="expression" dxfId="77" priority="74">
      <formula>$AB5&lt;4</formula>
    </cfRule>
  </conditionalFormatting>
  <conditionalFormatting sqref="O5:Q16">
    <cfRule type="expression" dxfId="76" priority="73">
      <formula>$AB5&lt;3</formula>
    </cfRule>
  </conditionalFormatting>
  <conditionalFormatting sqref="L5:N16">
    <cfRule type="expression" dxfId="75" priority="72">
      <formula>$AB5&lt;2</formula>
    </cfRule>
  </conditionalFormatting>
  <conditionalFormatting sqref="I5:K16">
    <cfRule type="expression" dxfId="74" priority="71">
      <formula>$AB5=0</formula>
    </cfRule>
  </conditionalFormatting>
  <conditionalFormatting sqref="X5:Z16">
    <cfRule type="expression" dxfId="73" priority="70">
      <formula>$AB5=0</formula>
    </cfRule>
  </conditionalFormatting>
  <conditionalFormatting sqref="U33:W44">
    <cfRule type="expression" dxfId="72" priority="69">
      <formula>$AB33&lt;5</formula>
    </cfRule>
  </conditionalFormatting>
  <conditionalFormatting sqref="R33:T44">
    <cfRule type="expression" dxfId="71" priority="68">
      <formula>$AB33&lt;4</formula>
    </cfRule>
  </conditionalFormatting>
  <conditionalFormatting sqref="O33:Q44">
    <cfRule type="expression" dxfId="70" priority="67">
      <formula>$AB33&lt;3</formula>
    </cfRule>
  </conditionalFormatting>
  <conditionalFormatting sqref="L33:N44">
    <cfRule type="expression" dxfId="69" priority="66">
      <formula>$AB33&lt;2</formula>
    </cfRule>
  </conditionalFormatting>
  <conditionalFormatting sqref="I33:K44">
    <cfRule type="expression" dxfId="68" priority="65">
      <formula>$AB33=0</formula>
    </cfRule>
  </conditionalFormatting>
  <conditionalFormatting sqref="X33:Z44">
    <cfRule type="expression" dxfId="67" priority="64">
      <formula>$AB33=0</formula>
    </cfRule>
  </conditionalFormatting>
  <conditionalFormatting sqref="U19:W30">
    <cfRule type="expression" dxfId="66" priority="63">
      <formula>$AB19&lt;5</formula>
    </cfRule>
  </conditionalFormatting>
  <conditionalFormatting sqref="R19:T30">
    <cfRule type="expression" dxfId="65" priority="62">
      <formula>$AB19&lt;4</formula>
    </cfRule>
  </conditionalFormatting>
  <conditionalFormatting sqref="O19:Q30">
    <cfRule type="expression" dxfId="64" priority="61">
      <formula>$AB19&lt;3</formula>
    </cfRule>
  </conditionalFormatting>
  <conditionalFormatting sqref="L19:N30">
    <cfRule type="expression" dxfId="63" priority="60">
      <formula>$AB19&lt;2</formula>
    </cfRule>
  </conditionalFormatting>
  <conditionalFormatting sqref="I19:K30">
    <cfRule type="expression" dxfId="62" priority="59">
      <formula>$AB19=0</formula>
    </cfRule>
  </conditionalFormatting>
  <conditionalFormatting sqref="X19:Z30">
    <cfRule type="expression" dxfId="61" priority="58">
      <formula>$AB19=0</formula>
    </cfRule>
  </conditionalFormatting>
  <conditionalFormatting sqref="U49:W60">
    <cfRule type="expression" dxfId="60" priority="57">
      <formula>$AB49&lt;5</formula>
    </cfRule>
  </conditionalFormatting>
  <conditionalFormatting sqref="R49:T60">
    <cfRule type="expression" dxfId="59" priority="56">
      <formula>$AB49&lt;4</formula>
    </cfRule>
  </conditionalFormatting>
  <conditionalFormatting sqref="O49:Q60">
    <cfRule type="expression" dxfId="58" priority="55">
      <formula>$AB49&lt;3</formula>
    </cfRule>
  </conditionalFormatting>
  <conditionalFormatting sqref="L49:N60">
    <cfRule type="expression" dxfId="57" priority="54">
      <formula>$AB49&lt;2</formula>
    </cfRule>
  </conditionalFormatting>
  <conditionalFormatting sqref="I49:K60">
    <cfRule type="expression" dxfId="56" priority="53">
      <formula>$AB49=0</formula>
    </cfRule>
  </conditionalFormatting>
  <conditionalFormatting sqref="X49:Z60">
    <cfRule type="expression" dxfId="55" priority="52">
      <formula>$AB49=0</formula>
    </cfRule>
  </conditionalFormatting>
  <conditionalFormatting sqref="U77:W88">
    <cfRule type="expression" dxfId="54" priority="51">
      <formula>$AB77&lt;5</formula>
    </cfRule>
  </conditionalFormatting>
  <conditionalFormatting sqref="R77:T88">
    <cfRule type="expression" dxfId="53" priority="50">
      <formula>$AB77&lt;4</formula>
    </cfRule>
  </conditionalFormatting>
  <conditionalFormatting sqref="O77:Q88">
    <cfRule type="expression" dxfId="52" priority="49">
      <formula>$AB77&lt;3</formula>
    </cfRule>
  </conditionalFormatting>
  <conditionalFormatting sqref="L77:N88">
    <cfRule type="expression" dxfId="51" priority="48">
      <formula>$AB77&lt;2</formula>
    </cfRule>
  </conditionalFormatting>
  <conditionalFormatting sqref="I77:K88">
    <cfRule type="expression" dxfId="50" priority="47">
      <formula>$AB77=0</formula>
    </cfRule>
  </conditionalFormatting>
  <conditionalFormatting sqref="X77:Z88">
    <cfRule type="expression" dxfId="49" priority="46">
      <formula>$AB77=0</formula>
    </cfRule>
  </conditionalFormatting>
  <conditionalFormatting sqref="U63:W74">
    <cfRule type="expression" dxfId="48" priority="45">
      <formula>$AB63&lt;5</formula>
    </cfRule>
  </conditionalFormatting>
  <conditionalFormatting sqref="R63:T74">
    <cfRule type="expression" dxfId="47" priority="44">
      <formula>$AB63&lt;4</formula>
    </cfRule>
  </conditionalFormatting>
  <conditionalFormatting sqref="O63:Q74">
    <cfRule type="expression" dxfId="46" priority="43">
      <formula>$AB63&lt;3</formula>
    </cfRule>
  </conditionalFormatting>
  <conditionalFormatting sqref="L63:N74">
    <cfRule type="expression" dxfId="45" priority="42">
      <formula>$AB63&lt;2</formula>
    </cfRule>
  </conditionalFormatting>
  <conditionalFormatting sqref="I63:K74">
    <cfRule type="expression" dxfId="44" priority="41">
      <formula>$AB63=0</formula>
    </cfRule>
  </conditionalFormatting>
  <conditionalFormatting sqref="X63:Z74">
    <cfRule type="expression" dxfId="43" priority="40">
      <formula>$AB63=0</formula>
    </cfRule>
  </conditionalFormatting>
  <conditionalFormatting sqref="U93:W104">
    <cfRule type="expression" dxfId="42" priority="39">
      <formula>$AB93&lt;5</formula>
    </cfRule>
  </conditionalFormatting>
  <conditionalFormatting sqref="R93:T104">
    <cfRule type="expression" dxfId="41" priority="38">
      <formula>$AB93&lt;4</formula>
    </cfRule>
  </conditionalFormatting>
  <conditionalFormatting sqref="O93:Q104">
    <cfRule type="expression" dxfId="40" priority="37">
      <formula>$AB93&lt;3</formula>
    </cfRule>
  </conditionalFormatting>
  <conditionalFormatting sqref="L93:N104">
    <cfRule type="expression" dxfId="39" priority="36">
      <formula>$AB93&lt;2</formula>
    </cfRule>
  </conditionalFormatting>
  <conditionalFormatting sqref="I93:K104">
    <cfRule type="expression" dxfId="38" priority="35">
      <formula>$AB93=0</formula>
    </cfRule>
  </conditionalFormatting>
  <conditionalFormatting sqref="X93:Z104">
    <cfRule type="expression" dxfId="37" priority="34">
      <formula>$AB93=0</formula>
    </cfRule>
  </conditionalFormatting>
  <conditionalFormatting sqref="U121:W132">
    <cfRule type="expression" dxfId="36" priority="33">
      <formula>$AB121&lt;5</formula>
    </cfRule>
  </conditionalFormatting>
  <conditionalFormatting sqref="R121:T132">
    <cfRule type="expression" dxfId="35" priority="32">
      <formula>$AB121&lt;4</formula>
    </cfRule>
  </conditionalFormatting>
  <conditionalFormatting sqref="O121:Q132">
    <cfRule type="expression" dxfId="34" priority="31">
      <formula>$AB121&lt;3</formula>
    </cfRule>
  </conditionalFormatting>
  <conditionalFormatting sqref="L121:N132">
    <cfRule type="expression" dxfId="33" priority="30">
      <formula>$AB121&lt;2</formula>
    </cfRule>
  </conditionalFormatting>
  <conditionalFormatting sqref="I121:K132">
    <cfRule type="expression" dxfId="32" priority="29">
      <formula>$AB121=0</formula>
    </cfRule>
  </conditionalFormatting>
  <conditionalFormatting sqref="X121:Z132">
    <cfRule type="expression" dxfId="31" priority="28">
      <formula>$AB121=0</formula>
    </cfRule>
  </conditionalFormatting>
  <conditionalFormatting sqref="U107:W118">
    <cfRule type="expression" dxfId="30" priority="27">
      <formula>$AB107&lt;5</formula>
    </cfRule>
  </conditionalFormatting>
  <conditionalFormatting sqref="R107:T118">
    <cfRule type="expression" dxfId="29" priority="26">
      <formula>$AB107&lt;4</formula>
    </cfRule>
  </conditionalFormatting>
  <conditionalFormatting sqref="O107:Q118">
    <cfRule type="expression" dxfId="28" priority="25">
      <formula>$AB107&lt;3</formula>
    </cfRule>
  </conditionalFormatting>
  <conditionalFormatting sqref="L107:N118">
    <cfRule type="expression" dxfId="27" priority="24">
      <formula>$AB107&lt;2</formula>
    </cfRule>
  </conditionalFormatting>
  <conditionalFormatting sqref="I107:K118">
    <cfRule type="expression" dxfId="26" priority="23">
      <formula>$AB107=0</formula>
    </cfRule>
  </conditionalFormatting>
  <conditionalFormatting sqref="X107:Z118">
    <cfRule type="expression" dxfId="25" priority="22">
      <formula>$AB107=0</formula>
    </cfRule>
  </conditionalFormatting>
  <conditionalFormatting sqref="A1:XFD1 A26:XFD45 A2:AU21 BN2:XFD21 A22:AX22 AZ22:XFD22 A23:AU25 AX23:XFD25 A70:XFD89 A46:AU69 BN46:XFD69 A114:XFD1048576 A90:AU113 BN90:XFD113">
    <cfRule type="cellIs" dxfId="24" priority="21" operator="equal">
      <formula>"Brasil"</formula>
    </cfRule>
  </conditionalFormatting>
  <conditionalFormatting sqref="X19:Z19">
    <cfRule type="expression" dxfId="23" priority="20">
      <formula>$AB19=0</formula>
    </cfRule>
  </conditionalFormatting>
  <conditionalFormatting sqref="X19:Z30">
    <cfRule type="expression" dxfId="22" priority="19">
      <formula>$AB19=0</formula>
    </cfRule>
  </conditionalFormatting>
  <conditionalFormatting sqref="AV2:BM3 AW4:BM21">
    <cfRule type="cellIs" dxfId="21" priority="18" operator="equal">
      <formula>"Brasil"</formula>
    </cfRule>
  </conditionalFormatting>
  <conditionalFormatting sqref="AV66:AX66 AZ66:BM66 AX67:BM69">
    <cfRule type="cellIs" dxfId="20" priority="8" operator="equal">
      <formula>"Brasil"</formula>
    </cfRule>
  </conditionalFormatting>
  <conditionalFormatting sqref="AV46:BM47 AW48:BM65">
    <cfRule type="cellIs" dxfId="19" priority="7" operator="equal">
      <formula>"Brasil"</formula>
    </cfRule>
  </conditionalFormatting>
  <conditionalFormatting sqref="AV110:AX110 AZ110:BM110 AX111:BM113">
    <cfRule type="cellIs" dxfId="18" priority="4" operator="equal">
      <formula>"Brasil"</formula>
    </cfRule>
  </conditionalFormatting>
  <conditionalFormatting sqref="AV90:BM91 AW92:BM109">
    <cfRule type="cellIs" dxfId="17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" id="{8B3ECC35-90F3-4832-B0DB-12B636A563E1}">
            <xm:f>OR(AND($AV4=Dummy!$Z$3,$AY$22=216),AND($AV4=Dummy!$Z$4,$AY$22=216),AND($AV4=Dummy!$Z$5,$AY$22=216),AND($AV4=Dummy!$Z$6,$AY$22=216),AND($AV4=Dummy!$Z$7,$AY$22=216),AND($AV4=Dummy!$Z$8,$AY$22=216),AND($AV4=Dummy!$Z$9,$AY$22=216),)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" id="{B74FCBF8-D233-4ECF-8BB9-F7563C2132B0}">
            <xm:f>$AW4=Dummy!$Z$1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AV4:BM21</xm:sqref>
        </x14:conditionalFormatting>
        <x14:conditionalFormatting xmlns:xm="http://schemas.microsoft.com/office/excel/2006/main">
          <x14:cfRule type="expression" priority="5" id="{ABE41A93-7546-46A4-A47D-CC53FC9A73C8}">
            <xm:f>$AW48=Dummy!$Z$1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4A63529F-AE89-4589-9D6A-5C571119EED1}">
            <xm:f>OR(AND($AV48=Dummy!$Z$3,$AY$22=216),AND($AV48=Dummy!$Z$4,$AY$22=216),AND($AV48=Dummy!$Z$5,$AY$22=216),AND($AV48=Dummy!$Z$6,$AY$22=216),AND($AV48=Dummy!$Z$7,$AY$22=216),AND($AV48=Dummy!$Z$8,$AY$22=216),AND($AV48=Dummy!$Z$9,$AY$22=216),)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AV48:BM65</xm:sqref>
        </x14:conditionalFormatting>
        <x14:conditionalFormatting xmlns:xm="http://schemas.microsoft.com/office/excel/2006/main">
          <x14:cfRule type="expression" priority="1" id="{4AFB3260-F3F8-45D7-A1CC-838FA44D28D7}">
            <xm:f>$AW92=Dummy!$Z$1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" id="{9E80C917-AD9F-43FC-8AE6-7B275E9970AB}">
            <xm:f>OR(AND($AV92=Dummy!$Z$3,$AY$22=216),AND($AV92=Dummy!$Z$4,$AY$22=216),AND($AV92=Dummy!$Z$5,$AY$22=216),AND($AV92=Dummy!$Z$6,$AY$22=216),AND($AV92=Dummy!$Z$7,$AY$22=216),AND($AV92=Dummy!$Z$8,$AY$22=216),AND($AV92=Dummy!$Z$9,$AY$22=216),)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AV92:BM109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8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9.140625" style="19"/>
    <col min="3" max="3" width="23.7109375" style="31" customWidth="1"/>
    <col min="4" max="4" width="3.7109375" style="47" customWidth="1"/>
    <col min="5" max="5" width="2.7109375" style="4" customWidth="1"/>
    <col min="6" max="6" width="3.7109375" style="6" customWidth="1"/>
    <col min="7" max="7" width="23.7109375" style="27" customWidth="1"/>
    <col min="8" max="8" width="4.7109375" style="4" customWidth="1"/>
    <col min="9" max="9" width="2.7109375" style="4" customWidth="1"/>
    <col min="10" max="11" width="4.7109375" style="4" customWidth="1"/>
    <col min="12" max="12" width="2.7109375" style="4" customWidth="1"/>
    <col min="13" max="14" width="4.7109375" style="4" customWidth="1"/>
    <col min="15" max="15" width="2.7109375" style="4" customWidth="1"/>
    <col min="16" max="17" width="4.7109375" style="4" customWidth="1"/>
    <col min="18" max="18" width="2.7109375" style="4" customWidth="1"/>
    <col min="19" max="20" width="4.7109375" style="4" customWidth="1"/>
    <col min="21" max="21" width="2.7109375" style="4" customWidth="1"/>
    <col min="22" max="23" width="4.7109375" style="4" customWidth="1"/>
    <col min="24" max="24" width="2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70" t="s">
        <v>81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AU2" s="72" t="s">
        <v>80</v>
      </c>
      <c r="AV2" s="72"/>
      <c r="AW2" s="72"/>
      <c r="AX2" s="72" t="s">
        <v>15</v>
      </c>
      <c r="AY2" s="72"/>
      <c r="AZ2" s="72"/>
      <c r="BA2" s="72" t="s">
        <v>61</v>
      </c>
      <c r="BB2" s="72"/>
      <c r="BC2" s="72"/>
      <c r="BD2" s="72"/>
      <c r="BE2" s="72"/>
      <c r="BF2" s="72"/>
      <c r="BG2" s="72" t="s">
        <v>62</v>
      </c>
      <c r="BH2" s="72"/>
      <c r="BI2" s="72"/>
      <c r="BJ2" s="72" t="s">
        <v>63</v>
      </c>
      <c r="BK2" s="72"/>
      <c r="BL2" s="72"/>
    </row>
    <row r="3" spans="2:64" x14ac:dyDescent="0.25">
      <c r="B3" s="16"/>
      <c r="C3" s="28"/>
      <c r="D3" s="67" t="s">
        <v>4</v>
      </c>
      <c r="E3" s="67"/>
      <c r="F3" s="67"/>
      <c r="G3" s="24"/>
      <c r="H3" s="68" t="s">
        <v>5</v>
      </c>
      <c r="I3" s="68"/>
      <c r="J3" s="68"/>
      <c r="K3" s="68" t="s">
        <v>6</v>
      </c>
      <c r="L3" s="68"/>
      <c r="M3" s="68"/>
      <c r="N3" s="68" t="s">
        <v>8</v>
      </c>
      <c r="O3" s="68"/>
      <c r="P3" s="68"/>
      <c r="Q3" s="68" t="s">
        <v>9</v>
      </c>
      <c r="R3" s="68"/>
      <c r="S3" s="68"/>
      <c r="T3" s="68" t="s">
        <v>10</v>
      </c>
      <c r="U3" s="68"/>
      <c r="V3" s="68"/>
      <c r="W3" s="68" t="s">
        <v>11</v>
      </c>
      <c r="X3" s="68"/>
      <c r="Y3" s="68"/>
      <c r="AA3" s="4" t="s">
        <v>39</v>
      </c>
      <c r="AB3" s="4" t="s">
        <v>24</v>
      </c>
      <c r="AC3" s="4" t="s">
        <v>21</v>
      </c>
      <c r="AD3" s="4" t="s">
        <v>19</v>
      </c>
      <c r="AE3" s="4" t="s">
        <v>20</v>
      </c>
      <c r="AF3" s="4" t="s">
        <v>16</v>
      </c>
      <c r="AG3" s="8" t="s">
        <v>18</v>
      </c>
      <c r="AH3" s="8" t="s">
        <v>17</v>
      </c>
      <c r="AI3" s="4" t="s">
        <v>22</v>
      </c>
      <c r="AJ3" s="4" t="s">
        <v>23</v>
      </c>
      <c r="AL3" s="4" t="s">
        <v>25</v>
      </c>
      <c r="AM3" s="4" t="s">
        <v>26</v>
      </c>
      <c r="AN3" s="4" t="s">
        <v>19</v>
      </c>
      <c r="AO3" s="4" t="s">
        <v>20</v>
      </c>
      <c r="AP3" s="8" t="s">
        <v>27</v>
      </c>
      <c r="AQ3" s="8" t="s">
        <v>28</v>
      </c>
      <c r="AR3" s="8" t="s">
        <v>29</v>
      </c>
      <c r="AS3" s="4" t="s">
        <v>22</v>
      </c>
      <c r="AT3" s="4" t="s">
        <v>23</v>
      </c>
      <c r="AU3" s="36" t="s">
        <v>44</v>
      </c>
      <c r="AV3" s="36" t="s">
        <v>45</v>
      </c>
      <c r="AW3" s="36" t="s">
        <v>46</v>
      </c>
      <c r="AX3" s="36" t="s">
        <v>77</v>
      </c>
      <c r="AY3" s="36" t="s">
        <v>21</v>
      </c>
      <c r="AZ3" s="36" t="s">
        <v>26</v>
      </c>
      <c r="BA3" s="36" t="s">
        <v>16</v>
      </c>
      <c r="BB3" s="36" t="s">
        <v>18</v>
      </c>
      <c r="BC3" s="36" t="s">
        <v>17</v>
      </c>
      <c r="BD3" s="36" t="s">
        <v>27</v>
      </c>
      <c r="BE3" s="36" t="s">
        <v>28</v>
      </c>
      <c r="BF3" s="36" t="s">
        <v>29</v>
      </c>
      <c r="BG3" s="36" t="s">
        <v>21</v>
      </c>
      <c r="BH3" s="36" t="s">
        <v>78</v>
      </c>
      <c r="BI3" s="36" t="s">
        <v>79</v>
      </c>
      <c r="BJ3" s="36" t="s">
        <v>21</v>
      </c>
      <c r="BK3" s="36" t="s">
        <v>78</v>
      </c>
      <c r="BL3" s="36" t="s">
        <v>79</v>
      </c>
    </row>
    <row r="4" spans="2:64" x14ac:dyDescent="0.25">
      <c r="B4" s="17" t="s">
        <v>85</v>
      </c>
      <c r="C4" s="29" t="str">
        <f>IF(Dummy!C37&lt;12,"1º Colocado",Dummy!B37)</f>
        <v>1º Colocado</v>
      </c>
      <c r="D4" s="60"/>
      <c r="E4" s="11" t="s">
        <v>7</v>
      </c>
      <c r="F4" s="38"/>
      <c r="G4" s="25" t="str">
        <f>IF(Dummy!C44&lt;12,"8º Colocado",Dummy!B44)</f>
        <v>8º Colocado</v>
      </c>
      <c r="H4" s="37"/>
      <c r="I4" s="11" t="s">
        <v>7</v>
      </c>
      <c r="J4" s="38"/>
      <c r="K4" s="37"/>
      <c r="L4" s="11" t="s">
        <v>7</v>
      </c>
      <c r="M4" s="38"/>
      <c r="N4" s="37"/>
      <c r="O4" s="11" t="s">
        <v>7</v>
      </c>
      <c r="P4" s="38"/>
      <c r="Q4" s="37"/>
      <c r="R4" s="11" t="s">
        <v>7</v>
      </c>
      <c r="S4" s="38"/>
      <c r="T4" s="37"/>
      <c r="U4" s="11" t="s">
        <v>7</v>
      </c>
      <c r="V4" s="38"/>
      <c r="W4" s="12">
        <f>SUM(H4,K4,N4,Q4,T4)</f>
        <v>0</v>
      </c>
      <c r="X4" s="13" t="s">
        <v>7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5">
        <v>1</v>
      </c>
      <c r="AV4" s="34" t="str">
        <f>VLOOKUP($AU4,Dummy!$A:$R,2,FALSE)</f>
        <v>Alemanha</v>
      </c>
      <c r="AW4" s="32">
        <f>VLOOKUP($AU4,Dummy!$A:$R,3,FALSE)</f>
        <v>0</v>
      </c>
      <c r="AX4" s="32">
        <f>VLOOKUP($AU4,Dummy!$A:$R,4,FALSE)</f>
        <v>0</v>
      </c>
      <c r="AY4" s="32">
        <f>VLOOKUP($AU4,Dummy!$A:$R,5,FALSE)</f>
        <v>0</v>
      </c>
      <c r="AZ4" s="32">
        <f>VLOOKUP($AU4,Dummy!$A:$R,6,FALSE)</f>
        <v>0</v>
      </c>
      <c r="BA4" s="32">
        <f>VLOOKUP($AU4,Dummy!$A:$R,7,FALSE)</f>
        <v>0</v>
      </c>
      <c r="BB4" s="32">
        <f>VLOOKUP($AU4,Dummy!$A:$R,8,FALSE)</f>
        <v>0</v>
      </c>
      <c r="BC4" s="32">
        <f>VLOOKUP($AU4,Dummy!$A:$R,9,FALSE)</f>
        <v>0</v>
      </c>
      <c r="BD4" s="32">
        <f>VLOOKUP($AU4,Dummy!$A:$R,10,FALSE)</f>
        <v>0</v>
      </c>
      <c r="BE4" s="32">
        <f>VLOOKUP($AU4,Dummy!$A:$R,11,FALSE)</f>
        <v>0</v>
      </c>
      <c r="BF4" s="32">
        <f>VLOOKUP($AU4,Dummy!$A:$R,12,FALSE)</f>
        <v>0</v>
      </c>
      <c r="BG4" s="32">
        <f>VLOOKUP($AU4,Dummy!$A:$R,13,FALSE)</f>
        <v>0</v>
      </c>
      <c r="BH4" s="32">
        <f>VLOOKUP($AU4,Dummy!$A:$R,14,FALSE)</f>
        <v>0</v>
      </c>
      <c r="BI4" s="33" t="str">
        <f>VLOOKUP($AU4,Dummy!$A:$R,15,FALSE)</f>
        <v>MAX</v>
      </c>
      <c r="BJ4" s="32">
        <f>VLOOKUP($AU4,Dummy!$A:$R,16,FALSE)</f>
        <v>0</v>
      </c>
      <c r="BK4" s="32">
        <f>VLOOKUP($AU4,Dummy!$A:$R,17,FALSE)</f>
        <v>0</v>
      </c>
      <c r="BL4" s="33" t="str">
        <f>VLOOKUP($AU4,Dummy!$A:$R,18,FALSE)</f>
        <v>MAX</v>
      </c>
    </row>
    <row r="5" spans="2:64" x14ac:dyDescent="0.25">
      <c r="B5" s="17" t="s">
        <v>86</v>
      </c>
      <c r="C5" s="29" t="str">
        <f>IF(Dummy!C38&lt;12,"2º Colocado",Dummy!B38)</f>
        <v>2º Colocado</v>
      </c>
      <c r="D5" s="60"/>
      <c r="E5" s="11" t="s">
        <v>7</v>
      </c>
      <c r="F5" s="38"/>
      <c r="G5" s="25" t="str">
        <f>IF(Dummy!C43&lt;12,"7º Colocado",Dummy!B43)</f>
        <v>7º Colocado</v>
      </c>
      <c r="H5" s="37"/>
      <c r="I5" s="11" t="s">
        <v>7</v>
      </c>
      <c r="J5" s="38"/>
      <c r="K5" s="37"/>
      <c r="L5" s="11" t="s">
        <v>7</v>
      </c>
      <c r="M5" s="38"/>
      <c r="N5" s="37"/>
      <c r="O5" s="11" t="s">
        <v>7</v>
      </c>
      <c r="P5" s="38"/>
      <c r="Q5" s="37"/>
      <c r="R5" s="11" t="s">
        <v>7</v>
      </c>
      <c r="S5" s="38"/>
      <c r="T5" s="37"/>
      <c r="U5" s="11" t="s">
        <v>7</v>
      </c>
      <c r="V5" s="38"/>
      <c r="W5" s="12">
        <f>SUM(H5,K5,N5,Q5,T5)</f>
        <v>0</v>
      </c>
      <c r="X5" s="13" t="s">
        <v>7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5">
        <v>2</v>
      </c>
      <c r="AV5" s="34" t="str">
        <f>VLOOKUP($AU5,Dummy!$A:$R,2,FALSE)</f>
        <v>Bélgica</v>
      </c>
      <c r="AW5" s="32">
        <f>VLOOKUP($AU5,Dummy!$A:$R,3,FALSE)</f>
        <v>0</v>
      </c>
      <c r="AX5" s="32">
        <f>VLOOKUP($AU5,Dummy!$A:$R,4,FALSE)</f>
        <v>0</v>
      </c>
      <c r="AY5" s="32">
        <f>VLOOKUP($AU5,Dummy!$A:$R,5,FALSE)</f>
        <v>0</v>
      </c>
      <c r="AZ5" s="32">
        <f>VLOOKUP($AU5,Dummy!$A:$R,6,FALSE)</f>
        <v>0</v>
      </c>
      <c r="BA5" s="32">
        <f>VLOOKUP($AU5,Dummy!$A:$R,7,FALSE)</f>
        <v>0</v>
      </c>
      <c r="BB5" s="32">
        <f>VLOOKUP($AU5,Dummy!$A:$R,8,FALSE)</f>
        <v>0</v>
      </c>
      <c r="BC5" s="32">
        <f>VLOOKUP($AU5,Dummy!$A:$R,9,FALSE)</f>
        <v>0</v>
      </c>
      <c r="BD5" s="32">
        <f>VLOOKUP($AU5,Dummy!$A:$R,10,FALSE)</f>
        <v>0</v>
      </c>
      <c r="BE5" s="32">
        <f>VLOOKUP($AU5,Dummy!$A:$R,11,FALSE)</f>
        <v>0</v>
      </c>
      <c r="BF5" s="32">
        <f>VLOOKUP($AU5,Dummy!$A:$R,12,FALSE)</f>
        <v>0</v>
      </c>
      <c r="BG5" s="32">
        <f>VLOOKUP($AU5,Dummy!$A:$R,13,FALSE)</f>
        <v>0</v>
      </c>
      <c r="BH5" s="32">
        <f>VLOOKUP($AU5,Dummy!$A:$R,14,FALSE)</f>
        <v>0</v>
      </c>
      <c r="BI5" s="33" t="str">
        <f>VLOOKUP($AU5,Dummy!$A:$R,15,FALSE)</f>
        <v>MAX</v>
      </c>
      <c r="BJ5" s="32">
        <f>VLOOKUP($AU5,Dummy!$A:$R,16,FALSE)</f>
        <v>0</v>
      </c>
      <c r="BK5" s="32">
        <f>VLOOKUP($AU5,Dummy!$A:$R,17,FALSE)</f>
        <v>0</v>
      </c>
      <c r="BL5" s="33" t="str">
        <f>VLOOKUP($AU5,Dummy!$A:$R,18,FALSE)</f>
        <v>MAX</v>
      </c>
    </row>
    <row r="6" spans="2:64" x14ac:dyDescent="0.25">
      <c r="B6" s="17" t="s">
        <v>87</v>
      </c>
      <c r="C6" s="29" t="str">
        <f>IF(Dummy!C39&lt;12,"3º Colocado",Dummy!B39)</f>
        <v>3º Colocado</v>
      </c>
      <c r="D6" s="60"/>
      <c r="E6" s="11" t="s">
        <v>7</v>
      </c>
      <c r="F6" s="38"/>
      <c r="G6" s="25" t="str">
        <f>IF(Dummy!C42&lt;12,"6º Colocado",Dummy!B42)</f>
        <v>6º Colocado</v>
      </c>
      <c r="H6" s="37"/>
      <c r="I6" s="11" t="s">
        <v>7</v>
      </c>
      <c r="J6" s="38"/>
      <c r="K6" s="37"/>
      <c r="L6" s="11" t="s">
        <v>7</v>
      </c>
      <c r="M6" s="38"/>
      <c r="N6" s="37"/>
      <c r="O6" s="11" t="s">
        <v>7</v>
      </c>
      <c r="P6" s="38"/>
      <c r="Q6" s="37"/>
      <c r="R6" s="11" t="s">
        <v>7</v>
      </c>
      <c r="S6" s="38"/>
      <c r="T6" s="37"/>
      <c r="U6" s="11" t="s">
        <v>7</v>
      </c>
      <c r="V6" s="38"/>
      <c r="W6" s="12">
        <f>SUM(H6,K6,N6,Q6,T6)</f>
        <v>0</v>
      </c>
      <c r="X6" s="13" t="s">
        <v>7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5">
        <v>3</v>
      </c>
      <c r="AV6" s="34" t="str">
        <f>VLOOKUP($AU6,Dummy!$A:$R,2,FALSE)</f>
        <v>Brasil</v>
      </c>
      <c r="AW6" s="32">
        <f>VLOOKUP($AU6,Dummy!$A:$R,3,FALSE)</f>
        <v>0</v>
      </c>
      <c r="AX6" s="32">
        <f>VLOOKUP($AU6,Dummy!$A:$R,4,FALSE)</f>
        <v>0</v>
      </c>
      <c r="AY6" s="32">
        <f>VLOOKUP($AU6,Dummy!$A:$R,5,FALSE)</f>
        <v>0</v>
      </c>
      <c r="AZ6" s="32">
        <f>VLOOKUP($AU6,Dummy!$A:$R,6,FALSE)</f>
        <v>0</v>
      </c>
      <c r="BA6" s="32">
        <f>VLOOKUP($AU6,Dummy!$A:$R,7,FALSE)</f>
        <v>0</v>
      </c>
      <c r="BB6" s="32">
        <f>VLOOKUP($AU6,Dummy!$A:$R,8,FALSE)</f>
        <v>0</v>
      </c>
      <c r="BC6" s="32">
        <f>VLOOKUP($AU6,Dummy!$A:$R,9,FALSE)</f>
        <v>0</v>
      </c>
      <c r="BD6" s="32">
        <f>VLOOKUP($AU6,Dummy!$A:$R,10,FALSE)</f>
        <v>0</v>
      </c>
      <c r="BE6" s="32">
        <f>VLOOKUP($AU6,Dummy!$A:$R,11,FALSE)</f>
        <v>0</v>
      </c>
      <c r="BF6" s="32">
        <f>VLOOKUP($AU6,Dummy!$A:$R,12,FALSE)</f>
        <v>0</v>
      </c>
      <c r="BG6" s="32">
        <f>VLOOKUP($AU6,Dummy!$A:$R,13,FALSE)</f>
        <v>0</v>
      </c>
      <c r="BH6" s="32">
        <f>VLOOKUP($AU6,Dummy!$A:$R,14,FALSE)</f>
        <v>0</v>
      </c>
      <c r="BI6" s="33" t="str">
        <f>VLOOKUP($AU6,Dummy!$A:$R,15,FALSE)</f>
        <v>MAX</v>
      </c>
      <c r="BJ6" s="32">
        <f>VLOOKUP($AU6,Dummy!$A:$R,16,FALSE)</f>
        <v>0</v>
      </c>
      <c r="BK6" s="32">
        <f>VLOOKUP($AU6,Dummy!$A:$R,17,FALSE)</f>
        <v>0</v>
      </c>
      <c r="BL6" s="33" t="str">
        <f>VLOOKUP($AU6,Dummy!$A:$R,18,FALSE)</f>
        <v>MAX</v>
      </c>
    </row>
    <row r="7" spans="2:64" x14ac:dyDescent="0.25">
      <c r="B7" s="17" t="s">
        <v>88</v>
      </c>
      <c r="C7" s="29" t="str">
        <f>IF(Dummy!C40&lt;12,"4º Colocado",Dummy!B40)</f>
        <v>4º Colocado</v>
      </c>
      <c r="D7" s="60"/>
      <c r="E7" s="11" t="s">
        <v>7</v>
      </c>
      <c r="F7" s="38"/>
      <c r="G7" s="25" t="str">
        <f>IF(Dummy!C41&lt;12,"5º Colocado",Dummy!B41)</f>
        <v>5º Colocado</v>
      </c>
      <c r="H7" s="37"/>
      <c r="I7" s="11" t="s">
        <v>7</v>
      </c>
      <c r="J7" s="38"/>
      <c r="K7" s="37"/>
      <c r="L7" s="11" t="s">
        <v>7</v>
      </c>
      <c r="M7" s="38"/>
      <c r="N7" s="37"/>
      <c r="O7" s="11" t="s">
        <v>7</v>
      </c>
      <c r="P7" s="38"/>
      <c r="Q7" s="37"/>
      <c r="R7" s="11" t="s">
        <v>7</v>
      </c>
      <c r="S7" s="38"/>
      <c r="T7" s="37"/>
      <c r="U7" s="11" t="s">
        <v>7</v>
      </c>
      <c r="V7" s="38"/>
      <c r="W7" s="12">
        <f>SUM(H7,K7,N7,Q7,T7)</f>
        <v>0</v>
      </c>
      <c r="X7" s="13" t="s">
        <v>7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5">
        <v>4</v>
      </c>
      <c r="AV7" s="34" t="str">
        <f>VLOOKUP($AU7,Dummy!$A:$R,2,FALSE)</f>
        <v>Bulgária</v>
      </c>
      <c r="AW7" s="32">
        <f>VLOOKUP($AU7,Dummy!$A:$R,3,FALSE)</f>
        <v>0</v>
      </c>
      <c r="AX7" s="32">
        <f>VLOOKUP($AU7,Dummy!$A:$R,4,FALSE)</f>
        <v>0</v>
      </c>
      <c r="AY7" s="32">
        <f>VLOOKUP($AU7,Dummy!$A:$R,5,FALSE)</f>
        <v>0</v>
      </c>
      <c r="AZ7" s="32">
        <f>VLOOKUP($AU7,Dummy!$A:$R,6,FALSE)</f>
        <v>0</v>
      </c>
      <c r="BA7" s="32">
        <f>VLOOKUP($AU7,Dummy!$A:$R,7,FALSE)</f>
        <v>0</v>
      </c>
      <c r="BB7" s="32">
        <f>VLOOKUP($AU7,Dummy!$A:$R,8,FALSE)</f>
        <v>0</v>
      </c>
      <c r="BC7" s="32">
        <f>VLOOKUP($AU7,Dummy!$A:$R,9,FALSE)</f>
        <v>0</v>
      </c>
      <c r="BD7" s="32">
        <f>VLOOKUP($AU7,Dummy!$A:$R,10,FALSE)</f>
        <v>0</v>
      </c>
      <c r="BE7" s="32">
        <f>VLOOKUP($AU7,Dummy!$A:$R,11,FALSE)</f>
        <v>0</v>
      </c>
      <c r="BF7" s="32">
        <f>VLOOKUP($AU7,Dummy!$A:$R,12,FALSE)</f>
        <v>0</v>
      </c>
      <c r="BG7" s="32">
        <f>VLOOKUP($AU7,Dummy!$A:$R,13,FALSE)</f>
        <v>0</v>
      </c>
      <c r="BH7" s="32">
        <f>VLOOKUP($AU7,Dummy!$A:$R,14,FALSE)</f>
        <v>0</v>
      </c>
      <c r="BI7" s="33" t="str">
        <f>VLOOKUP($AU7,Dummy!$A:$R,15,FALSE)</f>
        <v>MAX</v>
      </c>
      <c r="BJ7" s="32">
        <f>VLOOKUP($AU7,Dummy!$A:$R,16,FALSE)</f>
        <v>0</v>
      </c>
      <c r="BK7" s="32">
        <f>VLOOKUP($AU7,Dummy!$A:$R,17,FALSE)</f>
        <v>0</v>
      </c>
      <c r="BL7" s="33" t="str">
        <f>VLOOKUP($AU7,Dummy!$A:$R,18,FALSE)</f>
        <v>MAX</v>
      </c>
    </row>
    <row r="8" spans="2:64" x14ac:dyDescent="0.25">
      <c r="AU8" s="35">
        <v>5</v>
      </c>
      <c r="AV8" s="34" t="str">
        <f>VLOOKUP($AU8,Dummy!$A:$R,2,FALSE)</f>
        <v>Canadá</v>
      </c>
      <c r="AW8" s="32">
        <f>VLOOKUP($AU8,Dummy!$A:$R,3,FALSE)</f>
        <v>0</v>
      </c>
      <c r="AX8" s="32">
        <f>VLOOKUP($AU8,Dummy!$A:$R,4,FALSE)</f>
        <v>0</v>
      </c>
      <c r="AY8" s="32">
        <f>VLOOKUP($AU8,Dummy!$A:$R,5,FALSE)</f>
        <v>0</v>
      </c>
      <c r="AZ8" s="32">
        <f>VLOOKUP($AU8,Dummy!$A:$R,6,FALSE)</f>
        <v>0</v>
      </c>
      <c r="BA8" s="32">
        <f>VLOOKUP($AU8,Dummy!$A:$R,7,FALSE)</f>
        <v>0</v>
      </c>
      <c r="BB8" s="32">
        <f>VLOOKUP($AU8,Dummy!$A:$R,8,FALSE)</f>
        <v>0</v>
      </c>
      <c r="BC8" s="32">
        <f>VLOOKUP($AU8,Dummy!$A:$R,9,FALSE)</f>
        <v>0</v>
      </c>
      <c r="BD8" s="32">
        <f>VLOOKUP($AU8,Dummy!$A:$R,10,FALSE)</f>
        <v>0</v>
      </c>
      <c r="BE8" s="32">
        <f>VLOOKUP($AU8,Dummy!$A:$R,11,FALSE)</f>
        <v>0</v>
      </c>
      <c r="BF8" s="32">
        <f>VLOOKUP($AU8,Dummy!$A:$R,12,FALSE)</f>
        <v>0</v>
      </c>
      <c r="BG8" s="32">
        <f>VLOOKUP($AU8,Dummy!$A:$R,13,FALSE)</f>
        <v>0</v>
      </c>
      <c r="BH8" s="32">
        <f>VLOOKUP($AU8,Dummy!$A:$R,14,FALSE)</f>
        <v>0</v>
      </c>
      <c r="BI8" s="33" t="str">
        <f>VLOOKUP($AU8,Dummy!$A:$R,15,FALSE)</f>
        <v>MAX</v>
      </c>
      <c r="BJ8" s="32">
        <f>VLOOKUP($AU8,Dummy!$A:$R,16,FALSE)</f>
        <v>0</v>
      </c>
      <c r="BK8" s="32">
        <f>VLOOKUP($AU8,Dummy!$A:$R,17,FALSE)</f>
        <v>0</v>
      </c>
      <c r="BL8" s="33" t="str">
        <f>VLOOKUP($AU8,Dummy!$A:$R,18,FALSE)</f>
        <v>MAX</v>
      </c>
    </row>
    <row r="9" spans="2:64" x14ac:dyDescent="0.25">
      <c r="AU9" s="35">
        <v>6</v>
      </c>
      <c r="AV9" s="34" t="str">
        <f>VLOOKUP($AU9,Dummy!$A:$R,2,FALSE)</f>
        <v>República Tcheca</v>
      </c>
      <c r="AW9" s="32">
        <f>VLOOKUP($AU9,Dummy!$A:$R,3,FALSE)</f>
        <v>0</v>
      </c>
      <c r="AX9" s="32">
        <f>VLOOKUP($AU9,Dummy!$A:$R,4,FALSE)</f>
        <v>0</v>
      </c>
      <c r="AY9" s="32">
        <f>VLOOKUP($AU9,Dummy!$A:$R,5,FALSE)</f>
        <v>0</v>
      </c>
      <c r="AZ9" s="32">
        <f>VLOOKUP($AU9,Dummy!$A:$R,6,FALSE)</f>
        <v>0</v>
      </c>
      <c r="BA9" s="32">
        <f>VLOOKUP($AU9,Dummy!$A:$R,7,FALSE)</f>
        <v>0</v>
      </c>
      <c r="BB9" s="32">
        <f>VLOOKUP($AU9,Dummy!$A:$R,8,FALSE)</f>
        <v>0</v>
      </c>
      <c r="BC9" s="32">
        <f>VLOOKUP($AU9,Dummy!$A:$R,9,FALSE)</f>
        <v>0</v>
      </c>
      <c r="BD9" s="32">
        <f>VLOOKUP($AU9,Dummy!$A:$R,10,FALSE)</f>
        <v>0</v>
      </c>
      <c r="BE9" s="32">
        <f>VLOOKUP($AU9,Dummy!$A:$R,11,FALSE)</f>
        <v>0</v>
      </c>
      <c r="BF9" s="32">
        <f>VLOOKUP($AU9,Dummy!$A:$R,12,FALSE)</f>
        <v>0</v>
      </c>
      <c r="BG9" s="32">
        <f>VLOOKUP($AU9,Dummy!$A:$R,13,FALSE)</f>
        <v>0</v>
      </c>
      <c r="BH9" s="32">
        <f>VLOOKUP($AU9,Dummy!$A:$R,14,FALSE)</f>
        <v>0</v>
      </c>
      <c r="BI9" s="33" t="str">
        <f>VLOOKUP($AU9,Dummy!$A:$R,15,FALSE)</f>
        <v>MAX</v>
      </c>
      <c r="BJ9" s="32">
        <f>VLOOKUP($AU9,Dummy!$A:$R,16,FALSE)</f>
        <v>0</v>
      </c>
      <c r="BK9" s="32">
        <f>VLOOKUP($AU9,Dummy!$A:$R,17,FALSE)</f>
        <v>0</v>
      </c>
      <c r="BL9" s="33" t="str">
        <f>VLOOKUP($AU9,Dummy!$A:$R,18,FALSE)</f>
        <v>MAX</v>
      </c>
    </row>
    <row r="10" spans="2:64" ht="15" x14ac:dyDescent="0.25">
      <c r="B10" s="70" t="s">
        <v>82</v>
      </c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AU10" s="35">
        <v>7</v>
      </c>
      <c r="AV10" s="34" t="str">
        <f>VLOOKUP($AU10,Dummy!$A:$R,2,FALSE)</f>
        <v>China</v>
      </c>
      <c r="AW10" s="32">
        <f>VLOOKUP($AU10,Dummy!$A:$R,3,FALSE)</f>
        <v>0</v>
      </c>
      <c r="AX10" s="32">
        <f>VLOOKUP($AU10,Dummy!$A:$R,4,FALSE)</f>
        <v>0</v>
      </c>
      <c r="AY10" s="32">
        <f>VLOOKUP($AU10,Dummy!$A:$R,5,FALSE)</f>
        <v>0</v>
      </c>
      <c r="AZ10" s="32">
        <f>VLOOKUP($AU10,Dummy!$A:$R,6,FALSE)</f>
        <v>0</v>
      </c>
      <c r="BA10" s="32">
        <f>VLOOKUP($AU10,Dummy!$A:$R,7,FALSE)</f>
        <v>0</v>
      </c>
      <c r="BB10" s="32">
        <f>VLOOKUP($AU10,Dummy!$A:$R,8,FALSE)</f>
        <v>0</v>
      </c>
      <c r="BC10" s="32">
        <f>VLOOKUP($AU10,Dummy!$A:$R,9,FALSE)</f>
        <v>0</v>
      </c>
      <c r="BD10" s="32">
        <f>VLOOKUP($AU10,Dummy!$A:$R,10,FALSE)</f>
        <v>0</v>
      </c>
      <c r="BE10" s="32">
        <f>VLOOKUP($AU10,Dummy!$A:$R,11,FALSE)</f>
        <v>0</v>
      </c>
      <c r="BF10" s="32">
        <f>VLOOKUP($AU10,Dummy!$A:$R,12,FALSE)</f>
        <v>0</v>
      </c>
      <c r="BG10" s="32">
        <f>VLOOKUP($AU10,Dummy!$A:$R,13,FALSE)</f>
        <v>0</v>
      </c>
      <c r="BH10" s="32">
        <f>VLOOKUP($AU10,Dummy!$A:$R,14,FALSE)</f>
        <v>0</v>
      </c>
      <c r="BI10" s="33" t="str">
        <f>VLOOKUP($AU10,Dummy!$A:$R,15,FALSE)</f>
        <v>MAX</v>
      </c>
      <c r="BJ10" s="32">
        <f>VLOOKUP($AU10,Dummy!$A:$R,16,FALSE)</f>
        <v>0</v>
      </c>
      <c r="BK10" s="32">
        <f>VLOOKUP($AU10,Dummy!$A:$R,17,FALSE)</f>
        <v>0</v>
      </c>
      <c r="BL10" s="33" t="str">
        <f>VLOOKUP($AU10,Dummy!$A:$R,18,FALSE)</f>
        <v>MAX</v>
      </c>
    </row>
    <row r="11" spans="2:64" x14ac:dyDescent="0.25">
      <c r="B11" s="16"/>
      <c r="C11" s="28"/>
      <c r="D11" s="67" t="s">
        <v>4</v>
      </c>
      <c r="E11" s="67"/>
      <c r="F11" s="67"/>
      <c r="G11" s="24"/>
      <c r="H11" s="68" t="s">
        <v>5</v>
      </c>
      <c r="I11" s="68"/>
      <c r="J11" s="68"/>
      <c r="K11" s="68" t="s">
        <v>6</v>
      </c>
      <c r="L11" s="68"/>
      <c r="M11" s="68"/>
      <c r="N11" s="68" t="s">
        <v>8</v>
      </c>
      <c r="O11" s="68"/>
      <c r="P11" s="68"/>
      <c r="Q11" s="68" t="s">
        <v>9</v>
      </c>
      <c r="R11" s="68"/>
      <c r="S11" s="68"/>
      <c r="T11" s="68" t="s">
        <v>10</v>
      </c>
      <c r="U11" s="68"/>
      <c r="V11" s="68"/>
      <c r="W11" s="68" t="s">
        <v>11</v>
      </c>
      <c r="X11" s="68"/>
      <c r="Y11" s="68"/>
      <c r="AA11" s="4" t="s">
        <v>39</v>
      </c>
      <c r="AB11" s="4" t="s">
        <v>24</v>
      </c>
      <c r="AC11" s="4" t="s">
        <v>21</v>
      </c>
      <c r="AD11" s="4" t="s">
        <v>19</v>
      </c>
      <c r="AE11" s="4" t="s">
        <v>20</v>
      </c>
      <c r="AF11" s="4" t="s">
        <v>16</v>
      </c>
      <c r="AG11" s="8" t="s">
        <v>18</v>
      </c>
      <c r="AH11" s="8" t="s">
        <v>17</v>
      </c>
      <c r="AI11" s="4" t="s">
        <v>22</v>
      </c>
      <c r="AJ11" s="4" t="s">
        <v>23</v>
      </c>
      <c r="AL11" s="4" t="s">
        <v>25</v>
      </c>
      <c r="AM11" s="4" t="s">
        <v>26</v>
      </c>
      <c r="AN11" s="4" t="s">
        <v>19</v>
      </c>
      <c r="AO11" s="4" t="s">
        <v>20</v>
      </c>
      <c r="AP11" s="8" t="s">
        <v>27</v>
      </c>
      <c r="AQ11" s="8" t="s">
        <v>28</v>
      </c>
      <c r="AR11" s="8" t="s">
        <v>29</v>
      </c>
      <c r="AS11" s="4" t="s">
        <v>22</v>
      </c>
      <c r="AT11" s="4" t="s">
        <v>23</v>
      </c>
      <c r="AU11" s="35">
        <v>8</v>
      </c>
      <c r="AV11" s="34" t="str">
        <f>VLOOKUP($AU11,Dummy!$A:$R,2,FALSE)</f>
        <v>Coreia do Sul</v>
      </c>
      <c r="AW11" s="32">
        <f>VLOOKUP($AU11,Dummy!$A:$R,3,FALSE)</f>
        <v>0</v>
      </c>
      <c r="AX11" s="32">
        <f>VLOOKUP($AU11,Dummy!$A:$R,4,FALSE)</f>
        <v>0</v>
      </c>
      <c r="AY11" s="32">
        <f>VLOOKUP($AU11,Dummy!$A:$R,5,FALSE)</f>
        <v>0</v>
      </c>
      <c r="AZ11" s="32">
        <f>VLOOKUP($AU11,Dummy!$A:$R,6,FALSE)</f>
        <v>0</v>
      </c>
      <c r="BA11" s="32">
        <f>VLOOKUP($AU11,Dummy!$A:$R,7,FALSE)</f>
        <v>0</v>
      </c>
      <c r="BB11" s="32">
        <f>VLOOKUP($AU11,Dummy!$A:$R,8,FALSE)</f>
        <v>0</v>
      </c>
      <c r="BC11" s="32">
        <f>VLOOKUP($AU11,Dummy!$A:$R,9,FALSE)</f>
        <v>0</v>
      </c>
      <c r="BD11" s="32">
        <f>VLOOKUP($AU11,Dummy!$A:$R,10,FALSE)</f>
        <v>0</v>
      </c>
      <c r="BE11" s="32">
        <f>VLOOKUP($AU11,Dummy!$A:$R,11,FALSE)</f>
        <v>0</v>
      </c>
      <c r="BF11" s="32">
        <f>VLOOKUP($AU11,Dummy!$A:$R,12,FALSE)</f>
        <v>0</v>
      </c>
      <c r="BG11" s="32">
        <f>VLOOKUP($AU11,Dummy!$A:$R,13,FALSE)</f>
        <v>0</v>
      </c>
      <c r="BH11" s="32">
        <f>VLOOKUP($AU11,Dummy!$A:$R,14,FALSE)</f>
        <v>0</v>
      </c>
      <c r="BI11" s="33" t="str">
        <f>VLOOKUP($AU11,Dummy!$A:$R,15,FALSE)</f>
        <v>MAX</v>
      </c>
      <c r="BJ11" s="32">
        <f>VLOOKUP($AU11,Dummy!$A:$R,16,FALSE)</f>
        <v>0</v>
      </c>
      <c r="BK11" s="32">
        <f>VLOOKUP($AU11,Dummy!$A:$R,17,FALSE)</f>
        <v>0</v>
      </c>
      <c r="BL11" s="33" t="str">
        <f>VLOOKUP($AU11,Dummy!$A:$R,18,FALSE)</f>
        <v>MAX</v>
      </c>
    </row>
    <row r="12" spans="2:64" x14ac:dyDescent="0.25">
      <c r="B12" s="17" t="s">
        <v>91</v>
      </c>
      <c r="C12" s="29" t="str">
        <f>IF(AB4=0,"Vencedor Q1",AB4)</f>
        <v>Vencedor Q1</v>
      </c>
      <c r="D12" s="60"/>
      <c r="E12" s="11" t="s">
        <v>7</v>
      </c>
      <c r="F12" s="38"/>
      <c r="G12" s="25" t="str">
        <f>IF(AB7=0,"Vencedor Q4",AB7)</f>
        <v>Vencedor Q4</v>
      </c>
      <c r="H12" s="37"/>
      <c r="I12" s="11" t="s">
        <v>7</v>
      </c>
      <c r="J12" s="38"/>
      <c r="K12" s="37"/>
      <c r="L12" s="11" t="s">
        <v>7</v>
      </c>
      <c r="M12" s="38"/>
      <c r="N12" s="37"/>
      <c r="O12" s="11" t="s">
        <v>7</v>
      </c>
      <c r="P12" s="38"/>
      <c r="Q12" s="37"/>
      <c r="R12" s="11" t="s">
        <v>7</v>
      </c>
      <c r="S12" s="38"/>
      <c r="T12" s="37"/>
      <c r="U12" s="11" t="s">
        <v>7</v>
      </c>
      <c r="V12" s="38"/>
      <c r="W12" s="12">
        <f>SUM(H12,K12,N12,Q12,T12)</f>
        <v>0</v>
      </c>
      <c r="X12" s="13" t="s">
        <v>7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5">
        <v>9</v>
      </c>
      <c r="AV12" s="34" t="str">
        <f>VLOOKUP($AU12,Dummy!$A:$R,2,FALSE)</f>
        <v>Estados Unidos</v>
      </c>
      <c r="AW12" s="32">
        <f>VLOOKUP($AU12,Dummy!$A:$R,3,FALSE)</f>
        <v>0</v>
      </c>
      <c r="AX12" s="32">
        <f>VLOOKUP($AU12,Dummy!$A:$R,4,FALSE)</f>
        <v>0</v>
      </c>
      <c r="AY12" s="32">
        <f>VLOOKUP($AU12,Dummy!$A:$R,5,FALSE)</f>
        <v>0</v>
      </c>
      <c r="AZ12" s="32">
        <f>VLOOKUP($AU12,Dummy!$A:$R,6,FALSE)</f>
        <v>0</v>
      </c>
      <c r="BA12" s="32">
        <f>VLOOKUP($AU12,Dummy!$A:$R,7,FALSE)</f>
        <v>0</v>
      </c>
      <c r="BB12" s="32">
        <f>VLOOKUP($AU12,Dummy!$A:$R,8,FALSE)</f>
        <v>0</v>
      </c>
      <c r="BC12" s="32">
        <f>VLOOKUP($AU12,Dummy!$A:$R,9,FALSE)</f>
        <v>0</v>
      </c>
      <c r="BD12" s="32">
        <f>VLOOKUP($AU12,Dummy!$A:$R,10,FALSE)</f>
        <v>0</v>
      </c>
      <c r="BE12" s="32">
        <f>VLOOKUP($AU12,Dummy!$A:$R,11,FALSE)</f>
        <v>0</v>
      </c>
      <c r="BF12" s="32">
        <f>VLOOKUP($AU12,Dummy!$A:$R,12,FALSE)</f>
        <v>0</v>
      </c>
      <c r="BG12" s="32">
        <f>VLOOKUP($AU12,Dummy!$A:$R,13,FALSE)</f>
        <v>0</v>
      </c>
      <c r="BH12" s="32">
        <f>VLOOKUP($AU12,Dummy!$A:$R,14,FALSE)</f>
        <v>0</v>
      </c>
      <c r="BI12" s="33" t="str">
        <f>VLOOKUP($AU12,Dummy!$A:$R,15,FALSE)</f>
        <v>MAX</v>
      </c>
      <c r="BJ12" s="32">
        <f>VLOOKUP($AU12,Dummy!$A:$R,16,FALSE)</f>
        <v>0</v>
      </c>
      <c r="BK12" s="32">
        <f>VLOOKUP($AU12,Dummy!$A:$R,17,FALSE)</f>
        <v>0</v>
      </c>
      <c r="BL12" s="33" t="str">
        <f>VLOOKUP($AU12,Dummy!$A:$R,18,FALSE)</f>
        <v>MAX</v>
      </c>
    </row>
    <row r="13" spans="2:64" x14ac:dyDescent="0.25">
      <c r="B13" s="17" t="s">
        <v>92</v>
      </c>
      <c r="C13" s="29" t="str">
        <f>IF(AB5=0,"Vencedor Q2",AB5)</f>
        <v>Vencedor Q2</v>
      </c>
      <c r="D13" s="60"/>
      <c r="E13" s="11" t="s">
        <v>7</v>
      </c>
      <c r="F13" s="38"/>
      <c r="G13" s="25" t="str">
        <f>IF(AB6=0,"Vencedor Q3",AB6)</f>
        <v>Vencedor Q3</v>
      </c>
      <c r="H13" s="37"/>
      <c r="I13" s="11" t="s">
        <v>7</v>
      </c>
      <c r="J13" s="38"/>
      <c r="K13" s="37"/>
      <c r="L13" s="11" t="s">
        <v>7</v>
      </c>
      <c r="M13" s="38"/>
      <c r="N13" s="37"/>
      <c r="O13" s="11" t="s">
        <v>7</v>
      </c>
      <c r="P13" s="38"/>
      <c r="Q13" s="37"/>
      <c r="R13" s="11" t="s">
        <v>7</v>
      </c>
      <c r="S13" s="38"/>
      <c r="T13" s="37"/>
      <c r="U13" s="11" t="s">
        <v>7</v>
      </c>
      <c r="V13" s="38"/>
      <c r="W13" s="12">
        <f>SUM(H13,K13,N13,Q13,T13)</f>
        <v>0</v>
      </c>
      <c r="X13" s="13" t="s">
        <v>7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5">
        <v>10</v>
      </c>
      <c r="AV13" s="34" t="str">
        <f>VLOOKUP($AU13,Dummy!$A:$R,2,FALSE)</f>
        <v>França</v>
      </c>
      <c r="AW13" s="32">
        <f>VLOOKUP($AU13,Dummy!$A:$R,3,FALSE)</f>
        <v>0</v>
      </c>
      <c r="AX13" s="32">
        <f>VLOOKUP($AU13,Dummy!$A:$R,4,FALSE)</f>
        <v>0</v>
      </c>
      <c r="AY13" s="32">
        <f>VLOOKUP($AU13,Dummy!$A:$R,5,FALSE)</f>
        <v>0</v>
      </c>
      <c r="AZ13" s="32">
        <f>VLOOKUP($AU13,Dummy!$A:$R,6,FALSE)</f>
        <v>0</v>
      </c>
      <c r="BA13" s="32">
        <f>VLOOKUP($AU13,Dummy!$A:$R,7,FALSE)</f>
        <v>0</v>
      </c>
      <c r="BB13" s="32">
        <f>VLOOKUP($AU13,Dummy!$A:$R,8,FALSE)</f>
        <v>0</v>
      </c>
      <c r="BC13" s="32">
        <f>VLOOKUP($AU13,Dummy!$A:$R,9,FALSE)</f>
        <v>0</v>
      </c>
      <c r="BD13" s="32">
        <f>VLOOKUP($AU13,Dummy!$A:$R,10,FALSE)</f>
        <v>0</v>
      </c>
      <c r="BE13" s="32">
        <f>VLOOKUP($AU13,Dummy!$A:$R,11,FALSE)</f>
        <v>0</v>
      </c>
      <c r="BF13" s="32">
        <f>VLOOKUP($AU13,Dummy!$A:$R,12,FALSE)</f>
        <v>0</v>
      </c>
      <c r="BG13" s="32">
        <f>VLOOKUP($AU13,Dummy!$A:$R,13,FALSE)</f>
        <v>0</v>
      </c>
      <c r="BH13" s="32">
        <f>VLOOKUP($AU13,Dummy!$A:$R,14,FALSE)</f>
        <v>0</v>
      </c>
      <c r="BI13" s="33" t="str">
        <f>VLOOKUP($AU13,Dummy!$A:$R,15,FALSE)</f>
        <v>MAX</v>
      </c>
      <c r="BJ13" s="32">
        <f>VLOOKUP($AU13,Dummy!$A:$R,16,FALSE)</f>
        <v>0</v>
      </c>
      <c r="BK13" s="32">
        <f>VLOOKUP($AU13,Dummy!$A:$R,17,FALSE)</f>
        <v>0</v>
      </c>
      <c r="BL13" s="33" t="str">
        <f>VLOOKUP($AU13,Dummy!$A:$R,18,FALSE)</f>
        <v>MAX</v>
      </c>
    </row>
    <row r="14" spans="2:64" x14ac:dyDescent="0.25">
      <c r="AU14" s="35">
        <v>11</v>
      </c>
      <c r="AV14" s="34" t="str">
        <f>VLOOKUP($AU14,Dummy!$A:$R,2,FALSE)</f>
        <v>Itália</v>
      </c>
      <c r="AW14" s="32">
        <f>VLOOKUP($AU14,Dummy!$A:$R,3,FALSE)</f>
        <v>0</v>
      </c>
      <c r="AX14" s="32">
        <f>VLOOKUP($AU14,Dummy!$A:$R,4,FALSE)</f>
        <v>0</v>
      </c>
      <c r="AY14" s="32">
        <f>VLOOKUP($AU14,Dummy!$A:$R,5,FALSE)</f>
        <v>0</v>
      </c>
      <c r="AZ14" s="32">
        <f>VLOOKUP($AU14,Dummy!$A:$R,6,FALSE)</f>
        <v>0</v>
      </c>
      <c r="BA14" s="32">
        <f>VLOOKUP($AU14,Dummy!$A:$R,7,FALSE)</f>
        <v>0</v>
      </c>
      <c r="BB14" s="32">
        <f>VLOOKUP($AU14,Dummy!$A:$R,8,FALSE)</f>
        <v>0</v>
      </c>
      <c r="BC14" s="32">
        <f>VLOOKUP($AU14,Dummy!$A:$R,9,FALSE)</f>
        <v>0</v>
      </c>
      <c r="BD14" s="32">
        <f>VLOOKUP($AU14,Dummy!$A:$R,10,FALSE)</f>
        <v>0</v>
      </c>
      <c r="BE14" s="32">
        <f>VLOOKUP($AU14,Dummy!$A:$R,11,FALSE)</f>
        <v>0</v>
      </c>
      <c r="BF14" s="32">
        <f>VLOOKUP($AU14,Dummy!$A:$R,12,FALSE)</f>
        <v>0</v>
      </c>
      <c r="BG14" s="32">
        <f>VLOOKUP($AU14,Dummy!$A:$R,13,FALSE)</f>
        <v>0</v>
      </c>
      <c r="BH14" s="32">
        <f>VLOOKUP($AU14,Dummy!$A:$R,14,FALSE)</f>
        <v>0</v>
      </c>
      <c r="BI14" s="33" t="str">
        <f>VLOOKUP($AU14,Dummy!$A:$R,15,FALSE)</f>
        <v>MAX</v>
      </c>
      <c r="BJ14" s="32">
        <f>VLOOKUP($AU14,Dummy!$A:$R,16,FALSE)</f>
        <v>0</v>
      </c>
      <c r="BK14" s="32">
        <f>VLOOKUP($AU14,Dummy!$A:$R,17,FALSE)</f>
        <v>0</v>
      </c>
      <c r="BL14" s="33" t="str">
        <f>VLOOKUP($AU14,Dummy!$A:$R,18,FALSE)</f>
        <v>MAX</v>
      </c>
    </row>
    <row r="15" spans="2:64" x14ac:dyDescent="0.25">
      <c r="AU15" s="35">
        <v>12</v>
      </c>
      <c r="AV15" s="34" t="str">
        <f>VLOOKUP($AU15,Dummy!$A:$R,2,FALSE)</f>
        <v>Japão</v>
      </c>
      <c r="AW15" s="32">
        <f>VLOOKUP($AU15,Dummy!$A:$R,3,FALSE)</f>
        <v>0</v>
      </c>
      <c r="AX15" s="32">
        <f>VLOOKUP($AU15,Dummy!$A:$R,4,FALSE)</f>
        <v>0</v>
      </c>
      <c r="AY15" s="32">
        <f>VLOOKUP($AU15,Dummy!$A:$R,5,FALSE)</f>
        <v>0</v>
      </c>
      <c r="AZ15" s="32">
        <f>VLOOKUP($AU15,Dummy!$A:$R,6,FALSE)</f>
        <v>0</v>
      </c>
      <c r="BA15" s="32">
        <f>VLOOKUP($AU15,Dummy!$A:$R,7,FALSE)</f>
        <v>0</v>
      </c>
      <c r="BB15" s="32">
        <f>VLOOKUP($AU15,Dummy!$A:$R,8,FALSE)</f>
        <v>0</v>
      </c>
      <c r="BC15" s="32">
        <f>VLOOKUP($AU15,Dummy!$A:$R,9,FALSE)</f>
        <v>0</v>
      </c>
      <c r="BD15" s="32">
        <f>VLOOKUP($AU15,Dummy!$A:$R,10,FALSE)</f>
        <v>0</v>
      </c>
      <c r="BE15" s="32">
        <f>VLOOKUP($AU15,Dummy!$A:$R,11,FALSE)</f>
        <v>0</v>
      </c>
      <c r="BF15" s="32">
        <f>VLOOKUP($AU15,Dummy!$A:$R,12,FALSE)</f>
        <v>0</v>
      </c>
      <c r="BG15" s="32">
        <f>VLOOKUP($AU15,Dummy!$A:$R,13,FALSE)</f>
        <v>0</v>
      </c>
      <c r="BH15" s="32">
        <f>VLOOKUP($AU15,Dummy!$A:$R,14,FALSE)</f>
        <v>0</v>
      </c>
      <c r="BI15" s="33" t="str">
        <f>VLOOKUP($AU15,Dummy!$A:$R,15,FALSE)</f>
        <v>MAX</v>
      </c>
      <c r="BJ15" s="32">
        <f>VLOOKUP($AU15,Dummy!$A:$R,16,FALSE)</f>
        <v>0</v>
      </c>
      <c r="BK15" s="32">
        <f>VLOOKUP($AU15,Dummy!$A:$R,17,FALSE)</f>
        <v>0</v>
      </c>
      <c r="BL15" s="33" t="str">
        <f>VLOOKUP($AU15,Dummy!$A:$R,18,FALSE)</f>
        <v>MAX</v>
      </c>
    </row>
    <row r="16" spans="2:64" ht="15" x14ac:dyDescent="0.25">
      <c r="B16" s="70" t="s">
        <v>83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AU16" s="35">
        <v>13</v>
      </c>
      <c r="AV16" s="34" t="str">
        <f>VLOOKUP($AU16,Dummy!$A:$R,2,FALSE)</f>
        <v>Holanda</v>
      </c>
      <c r="AW16" s="32">
        <f>VLOOKUP($AU16,Dummy!$A:$R,3,FALSE)</f>
        <v>0</v>
      </c>
      <c r="AX16" s="32">
        <f>VLOOKUP($AU16,Dummy!$A:$R,4,FALSE)</f>
        <v>0</v>
      </c>
      <c r="AY16" s="32">
        <f>VLOOKUP($AU16,Dummy!$A:$R,5,FALSE)</f>
        <v>0</v>
      </c>
      <c r="AZ16" s="32">
        <f>VLOOKUP($AU16,Dummy!$A:$R,6,FALSE)</f>
        <v>0</v>
      </c>
      <c r="BA16" s="32">
        <f>VLOOKUP($AU16,Dummy!$A:$R,7,FALSE)</f>
        <v>0</v>
      </c>
      <c r="BB16" s="32">
        <f>VLOOKUP($AU16,Dummy!$A:$R,8,FALSE)</f>
        <v>0</v>
      </c>
      <c r="BC16" s="32">
        <f>VLOOKUP($AU16,Dummy!$A:$R,9,FALSE)</f>
        <v>0</v>
      </c>
      <c r="BD16" s="32">
        <f>VLOOKUP($AU16,Dummy!$A:$R,10,FALSE)</f>
        <v>0</v>
      </c>
      <c r="BE16" s="32">
        <f>VLOOKUP($AU16,Dummy!$A:$R,11,FALSE)</f>
        <v>0</v>
      </c>
      <c r="BF16" s="32">
        <f>VLOOKUP($AU16,Dummy!$A:$R,12,FALSE)</f>
        <v>0</v>
      </c>
      <c r="BG16" s="32">
        <f>VLOOKUP($AU16,Dummy!$A:$R,13,FALSE)</f>
        <v>0</v>
      </c>
      <c r="BH16" s="32">
        <f>VLOOKUP($AU16,Dummy!$A:$R,14,FALSE)</f>
        <v>0</v>
      </c>
      <c r="BI16" s="33" t="str">
        <f>VLOOKUP($AU16,Dummy!$A:$R,15,FALSE)</f>
        <v>MAX</v>
      </c>
      <c r="BJ16" s="32">
        <f>VLOOKUP($AU16,Dummy!$A:$R,16,FALSE)</f>
        <v>0</v>
      </c>
      <c r="BK16" s="32">
        <f>VLOOKUP($AU16,Dummy!$A:$R,17,FALSE)</f>
        <v>0</v>
      </c>
      <c r="BL16" s="33" t="str">
        <f>VLOOKUP($AU16,Dummy!$A:$R,18,FALSE)</f>
        <v>MAX</v>
      </c>
    </row>
    <row r="17" spans="2:64" x14ac:dyDescent="0.25">
      <c r="B17" s="16"/>
      <c r="C17" s="28"/>
      <c r="D17" s="67" t="s">
        <v>4</v>
      </c>
      <c r="E17" s="67"/>
      <c r="F17" s="67"/>
      <c r="G17" s="24"/>
      <c r="H17" s="68" t="s">
        <v>5</v>
      </c>
      <c r="I17" s="68"/>
      <c r="J17" s="68"/>
      <c r="K17" s="68" t="s">
        <v>6</v>
      </c>
      <c r="L17" s="68"/>
      <c r="M17" s="68"/>
      <c r="N17" s="68" t="s">
        <v>8</v>
      </c>
      <c r="O17" s="68"/>
      <c r="P17" s="68"/>
      <c r="Q17" s="68" t="s">
        <v>9</v>
      </c>
      <c r="R17" s="68"/>
      <c r="S17" s="68"/>
      <c r="T17" s="68" t="s">
        <v>10</v>
      </c>
      <c r="U17" s="68"/>
      <c r="V17" s="68"/>
      <c r="W17" s="68" t="s">
        <v>11</v>
      </c>
      <c r="X17" s="68"/>
      <c r="Y17" s="68"/>
      <c r="AA17" s="4" t="s">
        <v>39</v>
      </c>
      <c r="AB17" s="4" t="s">
        <v>24</v>
      </c>
      <c r="AC17" s="4" t="s">
        <v>21</v>
      </c>
      <c r="AD17" s="4" t="s">
        <v>19</v>
      </c>
      <c r="AE17" s="4" t="s">
        <v>20</v>
      </c>
      <c r="AF17" s="4" t="s">
        <v>16</v>
      </c>
      <c r="AG17" s="8" t="s">
        <v>18</v>
      </c>
      <c r="AH17" s="8" t="s">
        <v>17</v>
      </c>
      <c r="AI17" s="4" t="s">
        <v>22</v>
      </c>
      <c r="AJ17" s="4" t="s">
        <v>23</v>
      </c>
      <c r="AL17" s="4" t="s">
        <v>25</v>
      </c>
      <c r="AM17" s="4" t="s">
        <v>26</v>
      </c>
      <c r="AN17" s="4" t="s">
        <v>19</v>
      </c>
      <c r="AO17" s="4" t="s">
        <v>20</v>
      </c>
      <c r="AP17" s="8" t="s">
        <v>27</v>
      </c>
      <c r="AQ17" s="8" t="s">
        <v>28</v>
      </c>
      <c r="AR17" s="8" t="s">
        <v>29</v>
      </c>
      <c r="AS17" s="4" t="s">
        <v>22</v>
      </c>
      <c r="AT17" s="4" t="s">
        <v>23</v>
      </c>
      <c r="AU17" s="35">
        <v>14</v>
      </c>
      <c r="AV17" s="34" t="str">
        <f>VLOOKUP($AU17,Dummy!$A:$R,2,FALSE)</f>
        <v>Polônia</v>
      </c>
      <c r="AW17" s="32">
        <f>VLOOKUP($AU17,Dummy!$A:$R,3,FALSE)</f>
        <v>0</v>
      </c>
      <c r="AX17" s="32">
        <f>VLOOKUP($AU17,Dummy!$A:$R,4,FALSE)</f>
        <v>0</v>
      </c>
      <c r="AY17" s="32">
        <f>VLOOKUP($AU17,Dummy!$A:$R,5,FALSE)</f>
        <v>0</v>
      </c>
      <c r="AZ17" s="32">
        <f>VLOOKUP($AU17,Dummy!$A:$R,6,FALSE)</f>
        <v>0</v>
      </c>
      <c r="BA17" s="32">
        <f>VLOOKUP($AU17,Dummy!$A:$R,7,FALSE)</f>
        <v>0</v>
      </c>
      <c r="BB17" s="32">
        <f>VLOOKUP($AU17,Dummy!$A:$R,8,FALSE)</f>
        <v>0</v>
      </c>
      <c r="BC17" s="32">
        <f>VLOOKUP($AU17,Dummy!$A:$R,9,FALSE)</f>
        <v>0</v>
      </c>
      <c r="BD17" s="32">
        <f>VLOOKUP($AU17,Dummy!$A:$R,10,FALSE)</f>
        <v>0</v>
      </c>
      <c r="BE17" s="32">
        <f>VLOOKUP($AU17,Dummy!$A:$R,11,FALSE)</f>
        <v>0</v>
      </c>
      <c r="BF17" s="32">
        <f>VLOOKUP($AU17,Dummy!$A:$R,12,FALSE)</f>
        <v>0</v>
      </c>
      <c r="BG17" s="32">
        <f>VLOOKUP($AU17,Dummy!$A:$R,13,FALSE)</f>
        <v>0</v>
      </c>
      <c r="BH17" s="32">
        <f>VLOOKUP($AU17,Dummy!$A:$R,14,FALSE)</f>
        <v>0</v>
      </c>
      <c r="BI17" s="33" t="str">
        <f>VLOOKUP($AU17,Dummy!$A:$R,15,FALSE)</f>
        <v>MAX</v>
      </c>
      <c r="BJ17" s="32">
        <f>VLOOKUP($AU17,Dummy!$A:$R,16,FALSE)</f>
        <v>0</v>
      </c>
      <c r="BK17" s="32">
        <f>VLOOKUP($AU17,Dummy!$A:$R,17,FALSE)</f>
        <v>0</v>
      </c>
      <c r="BL17" s="33" t="str">
        <f>VLOOKUP($AU17,Dummy!$A:$R,18,FALSE)</f>
        <v>MAX</v>
      </c>
    </row>
    <row r="18" spans="2:64" x14ac:dyDescent="0.25">
      <c r="B18" s="17" t="s">
        <v>89</v>
      </c>
      <c r="C18" s="29" t="str">
        <f>IF(AL12=0,"Perdedor S1",AL12)</f>
        <v>Perdedor S1</v>
      </c>
      <c r="D18" s="60"/>
      <c r="E18" s="11" t="s">
        <v>7</v>
      </c>
      <c r="F18" s="38"/>
      <c r="G18" s="25" t="str">
        <f>IF(AL13=0,"Perdedor S2",AL13)</f>
        <v>Perdedor S2</v>
      </c>
      <c r="H18" s="37"/>
      <c r="I18" s="11" t="s">
        <v>7</v>
      </c>
      <c r="J18" s="38"/>
      <c r="K18" s="37"/>
      <c r="L18" s="11" t="s">
        <v>7</v>
      </c>
      <c r="M18" s="38"/>
      <c r="N18" s="37"/>
      <c r="O18" s="11" t="s">
        <v>7</v>
      </c>
      <c r="P18" s="38"/>
      <c r="Q18" s="37"/>
      <c r="R18" s="11" t="s">
        <v>7</v>
      </c>
      <c r="S18" s="38"/>
      <c r="T18" s="37"/>
      <c r="U18" s="11" t="s">
        <v>7</v>
      </c>
      <c r="V18" s="38"/>
      <c r="W18" s="12">
        <f>SUM(H18,K18,N18,Q18,T18)</f>
        <v>0</v>
      </c>
      <c r="X18" s="13" t="s">
        <v>7</v>
      </c>
      <c r="Y18" s="14">
        <f>SUM(J18,M18,P18,S18,V18)</f>
        <v>0</v>
      </c>
      <c r="AA18" s="4">
        <f>AD18+AE18</f>
        <v>0</v>
      </c>
      <c r="AB18" s="4">
        <f>IF(OR(D18="",F18=""),0,IF(D18&gt;F18,C18,G18))</f>
        <v>0</v>
      </c>
      <c r="AC18" s="4">
        <f>IF(OR(D18="",F18=""),0,1)</f>
        <v>0</v>
      </c>
      <c r="AD18" s="4">
        <f>IF(OR(D18="",F18=""),0,IF(D18&gt;F18,D18,F18))</f>
        <v>0</v>
      </c>
      <c r="AE18" s="4">
        <f>IF(OR(D18="",F18=""),0,IF(D18&gt;F18,F18,D18))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IF(D18&gt;F18,SUM(H18,K18,N18,Q18,T18,),SUM(J18,M18,P18,S18,V18))</f>
        <v>0</v>
      </c>
      <c r="AJ18" s="4">
        <f>IF(D18&gt;F18,SUM(J18,M18,P18,S18,V18),SUM(H18,K18,N18,Q18,T18))</f>
        <v>0</v>
      </c>
      <c r="AL18" s="4">
        <f>IF(OR(D18="",F18=""),0,IF(D18&lt;F18,C18,G18))</f>
        <v>0</v>
      </c>
      <c r="AM18" s="4">
        <f>IF(OR(D18="",F18=""),0,1)</f>
        <v>0</v>
      </c>
      <c r="AN18" s="4">
        <f>IF(OR(D18="",F18=""),0,IF(D18&lt;F18,D18,F18))</f>
        <v>0</v>
      </c>
      <c r="AO18" s="4">
        <f>IF(OR(D18="",F18=""),0,IF(D18&lt;F18,F18,D18))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IF(D18&lt;F18,SUM(H18,K18,N18,Q18,T18,),SUM(J18,M18,P18,S18,V18))</f>
        <v>0</v>
      </c>
      <c r="AT18" s="4">
        <f>IF(D18&lt;F18,SUM(J18,M18,P18,S18,V18),SUM(H18,K18,N18,Q18,T18))</f>
        <v>0</v>
      </c>
      <c r="AU18" s="35">
        <v>15</v>
      </c>
      <c r="AV18" s="34" t="str">
        <f>VLOOKUP($AU18,Dummy!$A:$R,2,FALSE)</f>
        <v>República Dominicana</v>
      </c>
      <c r="AW18" s="32">
        <f>VLOOKUP($AU18,Dummy!$A:$R,3,FALSE)</f>
        <v>0</v>
      </c>
      <c r="AX18" s="32">
        <f>VLOOKUP($AU18,Dummy!$A:$R,4,FALSE)</f>
        <v>0</v>
      </c>
      <c r="AY18" s="32">
        <f>VLOOKUP($AU18,Dummy!$A:$R,5,FALSE)</f>
        <v>0</v>
      </c>
      <c r="AZ18" s="32">
        <f>VLOOKUP($AU18,Dummy!$A:$R,6,FALSE)</f>
        <v>0</v>
      </c>
      <c r="BA18" s="32">
        <f>VLOOKUP($AU18,Dummy!$A:$R,7,FALSE)</f>
        <v>0</v>
      </c>
      <c r="BB18" s="32">
        <f>VLOOKUP($AU18,Dummy!$A:$R,8,FALSE)</f>
        <v>0</v>
      </c>
      <c r="BC18" s="32">
        <f>VLOOKUP($AU18,Dummy!$A:$R,9,FALSE)</f>
        <v>0</v>
      </c>
      <c r="BD18" s="32">
        <f>VLOOKUP($AU18,Dummy!$A:$R,10,FALSE)</f>
        <v>0</v>
      </c>
      <c r="BE18" s="32">
        <f>VLOOKUP($AU18,Dummy!$A:$R,11,FALSE)</f>
        <v>0</v>
      </c>
      <c r="BF18" s="32">
        <f>VLOOKUP($AU18,Dummy!$A:$R,12,FALSE)</f>
        <v>0</v>
      </c>
      <c r="BG18" s="32">
        <f>VLOOKUP($AU18,Dummy!$A:$R,13,FALSE)</f>
        <v>0</v>
      </c>
      <c r="BH18" s="32">
        <f>VLOOKUP($AU18,Dummy!$A:$R,14,FALSE)</f>
        <v>0</v>
      </c>
      <c r="BI18" s="33" t="str">
        <f>VLOOKUP($AU18,Dummy!$A:$R,15,FALSE)</f>
        <v>MAX</v>
      </c>
      <c r="BJ18" s="32">
        <f>VLOOKUP($AU18,Dummy!$A:$R,16,FALSE)</f>
        <v>0</v>
      </c>
      <c r="BK18" s="32">
        <f>VLOOKUP($AU18,Dummy!$A:$R,17,FALSE)</f>
        <v>0</v>
      </c>
      <c r="BL18" s="33" t="str">
        <f>VLOOKUP($AU18,Dummy!$A:$R,18,FALSE)</f>
        <v>MAX</v>
      </c>
    </row>
    <row r="19" spans="2:64" x14ac:dyDescent="0.25">
      <c r="AU19" s="35">
        <v>16</v>
      </c>
      <c r="AV19" s="34" t="str">
        <f>VLOOKUP($AU19,Dummy!$A:$R,2,FALSE)</f>
        <v>Sérvia</v>
      </c>
      <c r="AW19" s="32">
        <f>VLOOKUP($AU19,Dummy!$A:$R,3,FALSE)</f>
        <v>0</v>
      </c>
      <c r="AX19" s="32">
        <f>VLOOKUP($AU19,Dummy!$A:$R,4,FALSE)</f>
        <v>0</v>
      </c>
      <c r="AY19" s="32">
        <f>VLOOKUP($AU19,Dummy!$A:$R,5,FALSE)</f>
        <v>0</v>
      </c>
      <c r="AZ19" s="32">
        <f>VLOOKUP($AU19,Dummy!$A:$R,6,FALSE)</f>
        <v>0</v>
      </c>
      <c r="BA19" s="32">
        <f>VLOOKUP($AU19,Dummy!$A:$R,7,FALSE)</f>
        <v>0</v>
      </c>
      <c r="BB19" s="32">
        <f>VLOOKUP($AU19,Dummy!$A:$R,8,FALSE)</f>
        <v>0</v>
      </c>
      <c r="BC19" s="32">
        <f>VLOOKUP($AU19,Dummy!$A:$R,9,FALSE)</f>
        <v>0</v>
      </c>
      <c r="BD19" s="32">
        <f>VLOOKUP($AU19,Dummy!$A:$R,10,FALSE)</f>
        <v>0</v>
      </c>
      <c r="BE19" s="32">
        <f>VLOOKUP($AU19,Dummy!$A:$R,11,FALSE)</f>
        <v>0</v>
      </c>
      <c r="BF19" s="32">
        <f>VLOOKUP($AU19,Dummy!$A:$R,12,FALSE)</f>
        <v>0</v>
      </c>
      <c r="BG19" s="32">
        <f>VLOOKUP($AU19,Dummy!$A:$R,13,FALSE)</f>
        <v>0</v>
      </c>
      <c r="BH19" s="32">
        <f>VLOOKUP($AU19,Dummy!$A:$R,14,FALSE)</f>
        <v>0</v>
      </c>
      <c r="BI19" s="33" t="str">
        <f>VLOOKUP($AU19,Dummy!$A:$R,15,FALSE)</f>
        <v>MAX</v>
      </c>
      <c r="BJ19" s="32">
        <f>VLOOKUP($AU19,Dummy!$A:$R,16,FALSE)</f>
        <v>0</v>
      </c>
      <c r="BK19" s="32">
        <f>VLOOKUP($AU19,Dummy!$A:$R,17,FALSE)</f>
        <v>0</v>
      </c>
      <c r="BL19" s="33" t="str">
        <f>VLOOKUP($AU19,Dummy!$A:$R,18,FALSE)</f>
        <v>MAX</v>
      </c>
    </row>
    <row r="20" spans="2:64" x14ac:dyDescent="0.25">
      <c r="AU20" s="35">
        <v>17</v>
      </c>
      <c r="AV20" s="34" t="str">
        <f>VLOOKUP($AU20,Dummy!$A:$R,2,FALSE)</f>
        <v>Tailândia</v>
      </c>
      <c r="AW20" s="32">
        <f>VLOOKUP($AU20,Dummy!$A:$R,3,FALSE)</f>
        <v>0</v>
      </c>
      <c r="AX20" s="32">
        <f>VLOOKUP($AU20,Dummy!$A:$R,4,FALSE)</f>
        <v>0</v>
      </c>
      <c r="AY20" s="32">
        <f>VLOOKUP($AU20,Dummy!$A:$R,5,FALSE)</f>
        <v>0</v>
      </c>
      <c r="AZ20" s="32">
        <f>VLOOKUP($AU20,Dummy!$A:$R,6,FALSE)</f>
        <v>0</v>
      </c>
      <c r="BA20" s="32">
        <f>VLOOKUP($AU20,Dummy!$A:$R,7,FALSE)</f>
        <v>0</v>
      </c>
      <c r="BB20" s="32">
        <f>VLOOKUP($AU20,Dummy!$A:$R,8,FALSE)</f>
        <v>0</v>
      </c>
      <c r="BC20" s="32">
        <f>VLOOKUP($AU20,Dummy!$A:$R,9,FALSE)</f>
        <v>0</v>
      </c>
      <c r="BD20" s="32">
        <f>VLOOKUP($AU20,Dummy!$A:$R,10,FALSE)</f>
        <v>0</v>
      </c>
      <c r="BE20" s="32">
        <f>VLOOKUP($AU20,Dummy!$A:$R,11,FALSE)</f>
        <v>0</v>
      </c>
      <c r="BF20" s="32">
        <f>VLOOKUP($AU20,Dummy!$A:$R,12,FALSE)</f>
        <v>0</v>
      </c>
      <c r="BG20" s="32">
        <f>VLOOKUP($AU20,Dummy!$A:$R,13,FALSE)</f>
        <v>0</v>
      </c>
      <c r="BH20" s="32">
        <f>VLOOKUP($AU20,Dummy!$A:$R,14,FALSE)</f>
        <v>0</v>
      </c>
      <c r="BI20" s="33" t="str">
        <f>VLOOKUP($AU20,Dummy!$A:$R,15,FALSE)</f>
        <v>MAX</v>
      </c>
      <c r="BJ20" s="32">
        <f>VLOOKUP($AU20,Dummy!$A:$R,16,FALSE)</f>
        <v>0</v>
      </c>
      <c r="BK20" s="32">
        <f>VLOOKUP($AU20,Dummy!$A:$R,17,FALSE)</f>
        <v>0</v>
      </c>
      <c r="BL20" s="33" t="str">
        <f>VLOOKUP($AU20,Dummy!$A:$R,18,FALSE)</f>
        <v>MAX</v>
      </c>
    </row>
    <row r="21" spans="2:64" x14ac:dyDescent="0.25">
      <c r="AU21" s="35">
        <v>18</v>
      </c>
      <c r="AV21" s="34" t="str">
        <f>VLOOKUP($AU21,Dummy!$A:$R,2,FALSE)</f>
        <v>Turquia</v>
      </c>
      <c r="AW21" s="32">
        <f>VLOOKUP($AU21,Dummy!$A:$R,3,FALSE)</f>
        <v>0</v>
      </c>
      <c r="AX21" s="32">
        <f>VLOOKUP($AU21,Dummy!$A:$R,4,FALSE)</f>
        <v>0</v>
      </c>
      <c r="AY21" s="32">
        <f>VLOOKUP($AU21,Dummy!$A:$R,5,FALSE)</f>
        <v>0</v>
      </c>
      <c r="AZ21" s="32">
        <f>VLOOKUP($AU21,Dummy!$A:$R,6,FALSE)</f>
        <v>0</v>
      </c>
      <c r="BA21" s="32">
        <f>VLOOKUP($AU21,Dummy!$A:$R,7,FALSE)</f>
        <v>0</v>
      </c>
      <c r="BB21" s="32">
        <f>VLOOKUP($AU21,Dummy!$A:$R,8,FALSE)</f>
        <v>0</v>
      </c>
      <c r="BC21" s="32">
        <f>VLOOKUP($AU21,Dummy!$A:$R,9,FALSE)</f>
        <v>0</v>
      </c>
      <c r="BD21" s="32">
        <f>VLOOKUP($AU21,Dummy!$A:$R,10,FALSE)</f>
        <v>0</v>
      </c>
      <c r="BE21" s="32">
        <f>VLOOKUP($AU21,Dummy!$A:$R,11,FALSE)</f>
        <v>0</v>
      </c>
      <c r="BF21" s="32">
        <f>VLOOKUP($AU21,Dummy!$A:$R,12,FALSE)</f>
        <v>0</v>
      </c>
      <c r="BG21" s="32">
        <f>VLOOKUP($AU21,Dummy!$A:$R,13,FALSE)</f>
        <v>0</v>
      </c>
      <c r="BH21" s="32">
        <f>VLOOKUP($AU21,Dummy!$A:$R,14,FALSE)</f>
        <v>0</v>
      </c>
      <c r="BI21" s="33" t="str">
        <f>VLOOKUP($AU21,Dummy!$A:$R,15,FALSE)</f>
        <v>MAX</v>
      </c>
      <c r="BJ21" s="32">
        <f>VLOOKUP($AU21,Dummy!$A:$R,16,FALSE)</f>
        <v>0</v>
      </c>
      <c r="BK21" s="32">
        <f>VLOOKUP($AU21,Dummy!$A:$R,17,FALSE)</f>
        <v>0</v>
      </c>
      <c r="BL21" s="33" t="str">
        <f>VLOOKUP($AU21,Dummy!$A:$R,18,FALSE)</f>
        <v>MAX</v>
      </c>
    </row>
    <row r="22" spans="2:64" ht="15" x14ac:dyDescent="0.25">
      <c r="B22" s="70" t="s">
        <v>84</v>
      </c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AX22" s="57">
        <f>SUM(AX4:AX21)</f>
        <v>0</v>
      </c>
    </row>
    <row r="23" spans="2:64" x14ac:dyDescent="0.25">
      <c r="B23" s="16"/>
      <c r="C23" s="28"/>
      <c r="D23" s="67" t="s">
        <v>4</v>
      </c>
      <c r="E23" s="67"/>
      <c r="F23" s="67"/>
      <c r="G23" s="24"/>
      <c r="H23" s="68" t="s">
        <v>5</v>
      </c>
      <c r="I23" s="68"/>
      <c r="J23" s="68"/>
      <c r="K23" s="68" t="s">
        <v>6</v>
      </c>
      <c r="L23" s="68"/>
      <c r="M23" s="68"/>
      <c r="N23" s="68" t="s">
        <v>8</v>
      </c>
      <c r="O23" s="68"/>
      <c r="P23" s="68"/>
      <c r="Q23" s="68" t="s">
        <v>9</v>
      </c>
      <c r="R23" s="68"/>
      <c r="S23" s="68"/>
      <c r="T23" s="68" t="s">
        <v>10</v>
      </c>
      <c r="U23" s="68"/>
      <c r="V23" s="68"/>
      <c r="W23" s="68" t="s">
        <v>11</v>
      </c>
      <c r="X23" s="68"/>
      <c r="Y23" s="68"/>
      <c r="AA23" s="4" t="s">
        <v>39</v>
      </c>
      <c r="AB23" s="4" t="s">
        <v>24</v>
      </c>
      <c r="AC23" s="4" t="s">
        <v>21</v>
      </c>
      <c r="AD23" s="4" t="s">
        <v>19</v>
      </c>
      <c r="AE23" s="4" t="s">
        <v>20</v>
      </c>
      <c r="AF23" s="4" t="s">
        <v>16</v>
      </c>
      <c r="AG23" s="8" t="s">
        <v>18</v>
      </c>
      <c r="AH23" s="8" t="s">
        <v>17</v>
      </c>
      <c r="AI23" s="4" t="s">
        <v>22</v>
      </c>
      <c r="AJ23" s="4" t="s">
        <v>23</v>
      </c>
      <c r="AL23" s="4" t="s">
        <v>25</v>
      </c>
      <c r="AM23" s="4" t="s">
        <v>26</v>
      </c>
      <c r="AN23" s="4" t="s">
        <v>19</v>
      </c>
      <c r="AO23" s="4" t="s">
        <v>20</v>
      </c>
      <c r="AP23" s="8" t="s">
        <v>27</v>
      </c>
      <c r="AQ23" s="8" t="s">
        <v>28</v>
      </c>
      <c r="AR23" s="8" t="s">
        <v>29</v>
      </c>
      <c r="AS23" s="4" t="s">
        <v>22</v>
      </c>
      <c r="AT23" s="4" t="s">
        <v>23</v>
      </c>
      <c r="AU23" s="62" t="s">
        <v>99</v>
      </c>
      <c r="AV23" s="62"/>
    </row>
    <row r="24" spans="2:64" x14ac:dyDescent="0.25">
      <c r="B24" s="17" t="s">
        <v>90</v>
      </c>
      <c r="C24" s="29" t="str">
        <f>IF(AB12=0,"Vencedor S1",AB12)</f>
        <v>Vencedor S1</v>
      </c>
      <c r="D24" s="60"/>
      <c r="E24" s="11" t="s">
        <v>7</v>
      </c>
      <c r="F24" s="38"/>
      <c r="G24" s="25" t="str">
        <f>IF(AB13=0,"Vencedor S2",AB13)</f>
        <v>Vencedor S2</v>
      </c>
      <c r="H24" s="37"/>
      <c r="I24" s="11" t="s">
        <v>7</v>
      </c>
      <c r="J24" s="38"/>
      <c r="K24" s="37"/>
      <c r="L24" s="11" t="s">
        <v>7</v>
      </c>
      <c r="M24" s="38"/>
      <c r="N24" s="37"/>
      <c r="O24" s="11" t="s">
        <v>7</v>
      </c>
      <c r="P24" s="38"/>
      <c r="Q24" s="37"/>
      <c r="R24" s="11" t="s">
        <v>7</v>
      </c>
      <c r="S24" s="38"/>
      <c r="T24" s="37"/>
      <c r="U24" s="11" t="s">
        <v>7</v>
      </c>
      <c r="V24" s="38"/>
      <c r="W24" s="12">
        <f>SUM(H24,K24,N24,Q24,T24)</f>
        <v>0</v>
      </c>
      <c r="X24" s="13" t="s">
        <v>7</v>
      </c>
      <c r="Y24" s="14">
        <f>SUM(J24,M24,P24,S24,V24)</f>
        <v>0</v>
      </c>
      <c r="AA24" s="4">
        <f>AD24+AE24</f>
        <v>0</v>
      </c>
      <c r="AB24" s="4">
        <f>IF(OR(D24="",F24=""),0,IF(D24&gt;F24,C24,G24))</f>
        <v>0</v>
      </c>
      <c r="AC24" s="4">
        <f>IF(OR(D24="",F24=""),0,1)</f>
        <v>0</v>
      </c>
      <c r="AD24" s="4">
        <f>IF(OR(D24="",F24=""),0,IF(D24&gt;F24,D24,F24))</f>
        <v>0</v>
      </c>
      <c r="AE24" s="4">
        <f>IF(OR(D24="",F24=""),0,IF(D24&gt;F24,F24,D24))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IF(D24&gt;F24,SUM(H24,K24,N24,Q24,T24,),SUM(J24,M24,P24,S24,V24))</f>
        <v>0</v>
      </c>
      <c r="AJ24" s="4">
        <f>IF(D24&gt;F24,SUM(J24,M24,P24,S24,V24),SUM(H24,K24,N24,Q24,T24))</f>
        <v>0</v>
      </c>
      <c r="AL24" s="4">
        <f>IF(OR(D24="",F24=""),0,IF(D24&lt;F24,C24,G24))</f>
        <v>0</v>
      </c>
      <c r="AM24" s="4">
        <f>IF(OR(D24="",F24=""),0,1)</f>
        <v>0</v>
      </c>
      <c r="AN24" s="4">
        <f>IF(OR(D24="",F24=""),0,IF(D24&lt;F24,D24,F24))</f>
        <v>0</v>
      </c>
      <c r="AO24" s="4">
        <f>IF(OR(D24="",F24=""),0,IF(D24&lt;F24,F24,D24))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IF(D24&lt;F24,SUM(H24,K24,N24,Q24,T24,),SUM(J24,M24,P24,S24,V24))</f>
        <v>0</v>
      </c>
      <c r="AT24" s="4">
        <f>IF(D24&lt;F24,SUM(J24,M24,P24,S24,V24),SUM(H24,K24,N24,Q24,T24))</f>
        <v>0</v>
      </c>
      <c r="AU24" s="58"/>
      <c r="AV24" s="7" t="s">
        <v>100</v>
      </c>
    </row>
    <row r="25" spans="2:64" x14ac:dyDescent="0.25">
      <c r="AU25" s="59"/>
      <c r="AV25" s="7" t="s">
        <v>101</v>
      </c>
    </row>
    <row r="27" spans="2:64" s="43" customFormat="1" ht="18" customHeight="1" x14ac:dyDescent="0.25">
      <c r="B27" s="71" t="s">
        <v>95</v>
      </c>
      <c r="C27" s="71"/>
      <c r="D27" s="48"/>
      <c r="F27" s="50"/>
      <c r="G27" s="44"/>
    </row>
    <row r="28" spans="2:64" s="45" customFormat="1" ht="27" customHeight="1" x14ac:dyDescent="0.25">
      <c r="B28" s="54" t="s">
        <v>96</v>
      </c>
      <c r="C28" s="52" t="str">
        <f>IF(AB24=0,"Campeão",AB24)</f>
        <v>Campeão</v>
      </c>
      <c r="D28" s="49"/>
      <c r="F28" s="51"/>
      <c r="G28" s="46"/>
    </row>
    <row r="29" spans="2:64" s="45" customFormat="1" ht="27" customHeight="1" x14ac:dyDescent="0.25">
      <c r="B29" s="55" t="s">
        <v>97</v>
      </c>
      <c r="C29" s="53" t="str">
        <f>IF(AL24=0,"Vice",AL24)</f>
        <v>Vice</v>
      </c>
      <c r="D29" s="49"/>
      <c r="F29" s="51"/>
      <c r="G29" s="46"/>
    </row>
    <row r="30" spans="2:64" s="45" customFormat="1" ht="27" customHeight="1" x14ac:dyDescent="0.25">
      <c r="B30" s="56" t="s">
        <v>98</v>
      </c>
      <c r="C30" s="53" t="str">
        <f>IF(AB18=0,"Terceiro",AB18)</f>
        <v>Terceiro</v>
      </c>
      <c r="D30" s="49"/>
      <c r="F30" s="51"/>
      <c r="G30" s="46"/>
    </row>
    <row r="38" spans="2:7" x14ac:dyDescent="0.25">
      <c r="B38" s="4"/>
      <c r="C38" s="4"/>
      <c r="G38" s="4"/>
    </row>
  </sheetData>
  <sheetProtection password="CC01" sheet="1" objects="1" scenarios="1" selectLockedCells="1"/>
  <mergeCells count="39">
    <mergeCell ref="T3:V3"/>
    <mergeCell ref="W3:Y3"/>
    <mergeCell ref="B10:Y10"/>
    <mergeCell ref="B16:Y16"/>
    <mergeCell ref="B2:Y2"/>
    <mergeCell ref="D3:F3"/>
    <mergeCell ref="H3:J3"/>
    <mergeCell ref="K3:M3"/>
    <mergeCell ref="N3:P3"/>
    <mergeCell ref="Q3:S3"/>
    <mergeCell ref="AU2:AW2"/>
    <mergeCell ref="AX2:AZ2"/>
    <mergeCell ref="BA2:BF2"/>
    <mergeCell ref="BG2:BI2"/>
    <mergeCell ref="BJ2:BL2"/>
    <mergeCell ref="B22:Y22"/>
    <mergeCell ref="D11:F11"/>
    <mergeCell ref="H11:J11"/>
    <mergeCell ref="K11:M11"/>
    <mergeCell ref="N11:P11"/>
    <mergeCell ref="Q11:S11"/>
    <mergeCell ref="T11:V11"/>
    <mergeCell ref="W11:Y11"/>
    <mergeCell ref="D17:F17"/>
    <mergeCell ref="H17:J17"/>
    <mergeCell ref="K17:M17"/>
    <mergeCell ref="N17:P17"/>
    <mergeCell ref="Q17:S17"/>
    <mergeCell ref="T17:V17"/>
    <mergeCell ref="W17:Y17"/>
    <mergeCell ref="W23:Y23"/>
    <mergeCell ref="B27:C27"/>
    <mergeCell ref="AU23:AV23"/>
    <mergeCell ref="D23:F23"/>
    <mergeCell ref="H23:J23"/>
    <mergeCell ref="K23:M23"/>
    <mergeCell ref="N23:P23"/>
    <mergeCell ref="Q23:S23"/>
    <mergeCell ref="T23:V23"/>
  </mergeCells>
  <conditionalFormatting sqref="T4:V7 T12:V13 T18:V18 T24:V24">
    <cfRule type="expression" dxfId="10" priority="62">
      <formula>$AA4&lt;5</formula>
    </cfRule>
  </conditionalFormatting>
  <conditionalFormatting sqref="Q4:S7 Q12:S13 Q18:S18 Q24:S24">
    <cfRule type="expression" dxfId="9" priority="61">
      <formula>$AA4&lt;4</formula>
    </cfRule>
  </conditionalFormatting>
  <conditionalFormatting sqref="N4:P7 N12:P13 N18:P18 N24:P24">
    <cfRule type="expression" dxfId="8" priority="60">
      <formula>$AA4&lt;3</formula>
    </cfRule>
  </conditionalFormatting>
  <conditionalFormatting sqref="K4:M7 K12:M13 K18:M18 K24:M24">
    <cfRule type="expression" dxfId="7" priority="59">
      <formula>$AA4&lt;2</formula>
    </cfRule>
  </conditionalFormatting>
  <conditionalFormatting sqref="H4:J7 W4:Y7 H12:J13 W12:Y13 H18:J18 W18:Y18 H24:J24 W24:Y24">
    <cfRule type="expression" dxfId="6" priority="58">
      <formula>$AA4=0</formula>
    </cfRule>
  </conditionalFormatting>
  <conditionalFormatting sqref="A38 BM16:XFD16 Z38:AT38 BM21:XFD22 BM2:XFD10 BM12:XFD13 BM18:XFD18 BM24:XFD38 AU2:BL21 A16:AT18 A21:AT26 A1:XFD1 A2:AT13 A43:XFD1048576 A28:AT37 A27:B27 D27:AT27">
    <cfRule type="cellIs" dxfId="5" priority="8" operator="equal">
      <formula>"Brasil"</formula>
    </cfRule>
  </conditionalFormatting>
  <conditionalFormatting sqref="BM11:XFD11">
    <cfRule type="cellIs" dxfId="4" priority="5" operator="equal">
      <formula>"Brasil"</formula>
    </cfRule>
  </conditionalFormatting>
  <conditionalFormatting sqref="BM17:XFD17">
    <cfRule type="cellIs" dxfId="3" priority="4" operator="equal">
      <formula>"Brasil"</formula>
    </cfRule>
  </conditionalFormatting>
  <conditionalFormatting sqref="BM23:XFD23">
    <cfRule type="cellIs" dxfId="2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0F6A83-8A20-4128-AC08-526BDD0F4F5D}">
  <ds:schemaRefs>
    <ds:schemaRef ds:uri="http://purl.org/dc/terms/"/>
    <ds:schemaRef ds:uri="http://schemas.openxmlformats.org/package/2006/metadata/core-properties"/>
    <ds:schemaRef ds:uri="dc8c2798-6aba-4af7-93a4-b89253b03650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2c8c20e6-817c-474f-b9c2-eb2b1ac24837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2025-05-09T00:55:45Z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